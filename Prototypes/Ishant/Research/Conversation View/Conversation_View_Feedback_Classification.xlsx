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me Summary" sheetId="1" r:id="rId5"/>
    <sheet state="visible" name="Quarterly Trend" sheetId="2" r:id="rId6"/>
    <sheet state="visible" name="Unclassified Feedback" sheetId="3" r:id="rId7"/>
    <sheet state="visible" name="Message Ordering" sheetId="4" r:id="rId8"/>
    <sheet state="visible" name="Jump to Latest" sheetId="5" r:id="rId9"/>
    <sheet state="visible" name="Find Specific Message" sheetId="6" r:id="rId10"/>
    <sheet state="visible" name="Read-Unread Visibility" sheetId="7" r:id="rId11"/>
    <sheet state="visible" name="Mark Message Unread" sheetId="8" r:id="rId12"/>
    <sheet state="visible" name="Disable Conversation" sheetId="9" r:id="rId13"/>
    <sheet state="visible" name="Separate Branches" sheetId="10" r:id="rId14"/>
    <sheet state="visible" name="Quoted Readability" sheetId="11" r:id="rId15"/>
    <sheet state="visible" name="Attachment Discovery" sheetId="12" r:id="rId16"/>
    <sheet state="visible" name="Attachment Carry-over" sheetId="13" r:id="rId17"/>
    <sheet state="visible" name="Message Rendering" sheetId="14" r:id="rId18"/>
    <sheet state="visible" name="Attach Conversation" sheetId="15" r:id="rId19"/>
    <sheet state="visible" name="Print Conversation" sheetId="16" r:id="rId20"/>
  </sheets>
  <definedNames>
    <definedName hidden="1" localSheetId="2" name="_xlnm._FilterDatabase">'Unclassified Feedback'!$A$1:$H$298</definedName>
    <definedName hidden="1" localSheetId="3" name="_xlnm._FilterDatabase">'Message Ordering'!$A$1:$I$95</definedName>
    <definedName hidden="1" localSheetId="4" name="_xlnm._FilterDatabase">'Jump to Latest'!$A$1:$I$70</definedName>
    <definedName hidden="1" localSheetId="5" name="_xlnm._FilterDatabase">'Find Specific Message'!$A$1:$I$81</definedName>
    <definedName hidden="1" localSheetId="6" name="_xlnm._FilterDatabase">'Read-Unread Visibility'!$A$1:$I$2</definedName>
    <definedName hidden="1" localSheetId="7" name="_xlnm._FilterDatabase">'Mark Message Unread'!$A$1:$I$4</definedName>
    <definedName hidden="1" localSheetId="8" name="_xlnm._FilterDatabase">'Disable Conversation'!$A$1:$I$198</definedName>
    <definedName hidden="1" localSheetId="9" name="_xlnm._FilterDatabase">'Separate Branches'!$A$1:$I$24</definedName>
    <definedName hidden="1" localSheetId="10" name="_xlnm._FilterDatabase">'Quoted Readability'!$A$1:$I$10</definedName>
    <definedName hidden="1" localSheetId="11" name="_xlnm._FilterDatabase">'Attachment Discovery'!$A$1:$I$30</definedName>
    <definedName hidden="1" localSheetId="12" name="_xlnm._FilterDatabase">'Attachment Carry-over'!$A$1:$I$2</definedName>
    <definedName hidden="1" localSheetId="13" name="_xlnm._FilterDatabase">'Message Rendering'!$A$1:$I$30</definedName>
    <definedName hidden="1" localSheetId="14" name="_xlnm._FilterDatabase">'Attach Conversation'!$A$1:$I$3</definedName>
    <definedName hidden="1" localSheetId="15" name="_xlnm._FilterDatabase">'Print Conversation'!$A$1:$I$10</definedName>
  </definedNames>
  <calcPr/>
</workbook>
</file>

<file path=xl/sharedStrings.xml><?xml version="1.0" encoding="utf-8"?>
<sst xmlns="http://schemas.openxmlformats.org/spreadsheetml/2006/main" count="5012" uniqueCount="1444">
  <si>
    <t>Conversation View feedback - theme summary</t>
  </si>
  <si>
    <t>Classified comments per sub-theme, by quarter (newest to oldest)</t>
  </si>
  <si>
    <t>Account ID</t>
  </si>
  <si>
    <t>Counts are unique feedback records confidently classified into each sub-theme. 'Number of Comments' is a live COUNT over the matching sub-theme sheet, so the summary always reconciles with the detail.</t>
  </si>
  <si>
    <t>Quarter derived from Feedback Date. Cells are COUNTIFS over the sub-theme sheets, so they reconcile with the detail sheets.</t>
  </si>
  <si>
    <t>Scope of analysis</t>
  </si>
  <si>
    <t>Theme</t>
  </si>
  <si>
    <t>Total feedback records reviewed</t>
  </si>
  <si>
    <t>Classification Clarity</t>
  </si>
  <si>
    <t>Feedback Date</t>
  </si>
  <si>
    <t>NPS Score</t>
  </si>
  <si>
    <t>Plan</t>
  </si>
  <si>
    <t>Partner</t>
  </si>
  <si>
    <t>Source</t>
  </si>
  <si>
    <t>Feedback</t>
  </si>
  <si>
    <t>Reason Not Classified</t>
  </si>
  <si>
    <t>Sub-theme</t>
  </si>
  <si>
    <t>Q3 2026</t>
  </si>
  <si>
    <t>Q2 2026</t>
  </si>
  <si>
    <t>Q1 2026</t>
  </si>
  <si>
    <t>Q4 2025</t>
  </si>
  <si>
    <t>Q3 2025</t>
  </si>
  <si>
    <t>Q2 2025</t>
  </si>
  <si>
    <t>Q1 2025</t>
  </si>
  <si>
    <t>Q4 2024</t>
  </si>
  <si>
    <t>Feedback date range</t>
  </si>
  <si>
    <t>Q3 2024</t>
  </si>
  <si>
    <t>14 Oct 2020  to  18 Aug 2026</t>
  </si>
  <si>
    <t>Q2 2024</t>
  </si>
  <si>
    <t>Quarters covered</t>
  </si>
  <si>
    <t>Q1 2024</t>
  </si>
  <si>
    <t>24  (Q4 2020 to Q3 2026)</t>
  </si>
  <si>
    <t>Q4 2023</t>
  </si>
  <si>
    <t>Q3 2023</t>
  </si>
  <si>
    <t>Q2 2023</t>
  </si>
  <si>
    <t>Unique accounts</t>
  </si>
  <si>
    <t>Q1 2023</t>
  </si>
  <si>
    <t>Records classified into at least one sub-theme</t>
  </si>
  <si>
    <t>Q4 2022</t>
  </si>
  <si>
    <t>Q3 2022</t>
  </si>
  <si>
    <t>Q2 2022</t>
  </si>
  <si>
    <t>Q1 2022</t>
  </si>
  <si>
    <t>Q4 2021</t>
  </si>
  <si>
    <t>Q3 2021</t>
  </si>
  <si>
    <t>Highlighted Relevant Comment</t>
  </si>
  <si>
    <t>Q2 2021</t>
  </si>
  <si>
    <t>Full Feedback</t>
  </si>
  <si>
    <t>Q1 2021</t>
  </si>
  <si>
    <t>Q4 2020</t>
  </si>
  <si>
    <t>Very clear</t>
  </si>
  <si>
    <t>Thread navigation &amp; message discovery</t>
  </si>
  <si>
    <t>of all records reviewed</t>
  </si>
  <si>
    <t>Records not classified</t>
  </si>
  <si>
    <t>Pro</t>
  </si>
  <si>
    <t>Bluehost</t>
  </si>
  <si>
    <t>NPS</t>
  </si>
  <si>
    <t>The mobile app is brutal. Trying to review all of the emails in a thread takes forever. I frequently have to go back to the desktop browser to get the emails to load. [Improvement: Fix that]</t>
  </si>
  <si>
    <t>specific problem not identifiable from the text - see Unclassified Feedback sheet</t>
  </si>
  <si>
    <t>Total sub-theme assignments (a record may span several)</t>
  </si>
  <si>
    <t>Records mapped to more than one sub-theme</t>
  </si>
  <si>
    <t>drives the gap between records classified and total assignments</t>
  </si>
  <si>
    <t>Sub-themes with at least one classified comment</t>
  </si>
  <si>
    <t>Message ordering</t>
  </si>
  <si>
    <t>Problem / Story</t>
  </si>
  <si>
    <t>Top comment highlights and account</t>
  </si>
  <si>
    <t>Comment</t>
  </si>
  <si>
    <t>WordPress.com</t>
  </si>
  <si>
    <t>sometimes the email thread chain is backwards when reading emails in order</t>
  </si>
  <si>
    <t>Issue lies outside Conversation View (search, delivery, deletion, compose, performance, etc.).</t>
  </si>
  <si>
    <t>Secureserver</t>
  </si>
  <si>
    <t>some times it is confusing to follow conversations in the same thread [Improvement: find a way to separate reply and follow up mails]</t>
  </si>
  <si>
    <t>Complaint or request too vague to identify which underlying thread problem is meant.</t>
  </si>
  <si>
    <t>The layout and feel is better than Outlook, Yes 1 change i would request is Mail trail needs to be seperated.</t>
  </si>
  <si>
    <t>Vodien</t>
  </si>
  <si>
    <t>Easy to use. However, it can be even better if it has an AI feature to collate an email thread to summarize the contents of the thread discussion.</t>
  </si>
  <si>
    <t>Describes a real thread-related need, but it does not map to any predefined sub-theme.</t>
  </si>
  <si>
    <t>Ultra</t>
  </si>
  <si>
    <t>The way that email threads is organised is terrible. [Improvement: email thread organisation.]</t>
  </si>
  <si>
    <t>Generic complaint about thread usability; no specific underlying problem identifiable.</t>
  </si>
  <si>
    <t>Free</t>
  </si>
  <si>
    <t>Hostinger</t>
  </si>
  <si>
    <t>The way the emails get stacked and displayed is confusing and doesn't follow the same process as gmail or other mainstream mail providers which causes time delays and is inefficient. [Improvement: Make the email chains easier to follow. Either follow the process Gmail and others use or be inventive and make it even better.]</t>
  </si>
  <si>
    <t>Premium</t>
  </si>
  <si>
    <t>name.com</t>
  </si>
  <si>
    <t>Threads are extremely unwieldy.</t>
  </si>
  <si>
    <t>The email layout is not clean enough. Too costly for what you offer. Nothing special. I do not like the way the reply emails stack up. Confusing and not easily overseeable. [Improvement: See my comments. Make it cleaner.]</t>
  </si>
  <si>
    <t>Blocking emails should not be a paid feature. With the high amount of spam, that seems like something everyone should have automatically. [Improvement: Make blocking free... Make it easier to find threads and copy email addresses]</t>
  </si>
  <si>
    <t>Starter</t>
  </si>
  <si>
    <t>ResellerClub Newfold</t>
  </si>
  <si>
    <t>I have had no difficulty; the email history is visible right away, so there is no need to go to Sent to check.</t>
  </si>
  <si>
    <t>Positive or neutral feedback; no problem described.</t>
  </si>
  <si>
    <t>All confusing previous GoDaddy version was easy to understand and use. [Improvement: All mails in thread collapsing, causing confusion. Make things easier instead of charging for AI]</t>
  </si>
  <si>
    <t>Keeps asking me to upgrade for this and upgrade for that. Cant search properly, as all e-mails are nested into one, etc</t>
  </si>
  <si>
    <t>Number of Comments</t>
  </si>
  <si>
    <t>Threads hard to follow, stacked weirdly</t>
  </si>
  <si>
    <t>I really like the email read receipts, however, the email threads are hard to view. Outlook is better for reading conversations.</t>
  </si>
  <si>
    <t>sometimes the email thread chain is backwards when reading emails in order [Improvement: order this please x]</t>
  </si>
  <si>
    <t>Ui is at times confusing. Mail trails do not load and at times mail trails are shown in a way which is difficult to comprehend.</t>
  </si>
  <si>
    <t>Emails are getting stacked below previous email threads. Even when a new email is received today, if it is related to an earlier conversation, it appears under the original thread date instead of being displayed under today's date. This makes it difficult to identify recently received emails.</t>
  </si>
  <si>
    <t>its working like gmail with all mails threads attached , which is very confusing</t>
  </si>
  <si>
    <t>Pro Plus</t>
  </si>
  <si>
    <t>there is no flow in the message. top to bottom. new message comes in the middle instead</t>
  </si>
  <si>
    <t>Its confusing consolidating all emails of same subject. and spell check option also not reflecting</t>
  </si>
  <si>
    <t>Expresses dislike of grouping but does not ask for individual messages or name a specific problem.</t>
  </si>
  <si>
    <t>No font editing tools in mobile app apple . Reply threads needs work aswell its not as organised as if should be . UI is not as inviting . Sorry for</t>
  </si>
  <si>
    <t>Links dont work, the email chain format is messy, everything you click the app tries to open with its own browser or pdf viewer which is not smooth enough to replace the default apps, constant pushes for upgrading are irritating</t>
  </si>
  <si>
    <t>Mixed up of old and new mails</t>
  </si>
  <si>
    <t>Email thread too complicated! Mixed up of old and new mails! Need effort to search the latest mail!</t>
  </si>
  <si>
    <t>BigRock</t>
  </si>
  <si>
    <t>trailing mail flow is slightly confusion.</t>
  </si>
  <si>
    <t>HostGator</t>
  </si>
  <si>
    <t>the latest reply appearing in the middle of that history</t>
  </si>
  <si>
    <t>The organisation of the email is poor. It is bad that the email history always shows up, with the latest reply appearing in the middle of that history. It is very confusing. And an email that should only appear in Sent also appears in the inbox. [Improvement: Give the option not to show the email history. And sent is sent... it should not appear anywhere else.]</t>
  </si>
  <si>
    <t>I can't control my InBox and the stacking of mails and replies. Very frustrating</t>
  </si>
  <si>
    <t>thread of messages do not follow on in received order</t>
  </si>
  <si>
    <t>Stacking of emails not logical , they become disorganised and thread of messages do not follow on in received order . A real pain.</t>
  </si>
  <si>
    <t>grouped emails, confusing</t>
  </si>
  <si>
    <t>the latest response pops up in the middle</t>
  </si>
  <si>
    <t>piece of crap, lags, and doesnt attach things properly. the order of messages is confusing in a 50 reply message thread its confusing, the latest response pops up in the middle, you gotta scroll up and down to find past replies but its ten not in order. put things in a linear order, newest reponse coming up as you click, and you can scroll back in chronological order with all attachments under each response. at the moment this is a piece of crap [Improvement: i just told you]</t>
  </si>
  <si>
    <t>Hostgator Chile</t>
  </si>
  <si>
    <t>sometimes the last one sent ends up in the middle of the emails or at the end and does not follow a logical, ordered sequence</t>
  </si>
  <si>
    <t>It is very cumbersome and unfriendly with the views. It does NOT allow panels to be hidden, and it is unclear when it joins together emails from the same series that are sent... Everything gets tangled. [Improvement: The way it joins emails from a series is bad; sometimes the last one sent ends up in the middle of the emails or at the end and does not follow a logical, ordered sequence. The image formatting also gets lost.]</t>
  </si>
  <si>
    <t>I can't view the conversation in the chronological order that feels natural to me.</t>
  </si>
  <si>
    <t>Completely unhappy with the titan. Now upon searching the emails that are sent are not seen in the thread and vise versa</t>
  </si>
  <si>
    <t>TSO Host</t>
  </si>
  <si>
    <t>"there is no flow in the message. top to bottom. new message comes in the middle instead" - Account 5197887, 2026-08-11
"the latest response pops up in the middle" - Account 9166325, 2026-05-04
"The email threads arent in chronological order" - Account 162102, 2025-08-03</t>
  </si>
  <si>
    <t>Conversation threads are difficult to follow as they appear out of order</t>
  </si>
  <si>
    <t>Conversation threads are difficult to follow as they appear out of order.</t>
  </si>
  <si>
    <t>Thread of mails difficult to follow.</t>
  </si>
  <si>
    <t>the sequence or order gets lost</t>
  </si>
  <si>
    <t>Poor email structure - all the emails grouped into a single email is bad to read, and when I click to read an email it opens as if I were replying... It is quite bad. [Improvement: Update the email receiving structure, add more tools]</t>
  </si>
  <si>
    <t>It is excellent, but I find that in email threads under the same subject the sequence or order gets lost, and it is hard to find the last one.</t>
  </si>
  <si>
    <t>Had a weird bug recently. I was replying to a message that was somewhere in the middle of a thread, and the iPad keyboard kept going away. Sometimes after a few seconds of not typing, sometimes immediately after I typed a single character. Had to keep tapping in the text area to bring the keyboard back. Needless to say the reply took ages to compose.</t>
  </si>
  <si>
    <t>The message history within a single email is messy. Ideally it should follow a bottom-to-top sequence</t>
  </si>
  <si>
    <t>The message history within a single email is messy. Ideally it should follow a bottom-to-top sequence. This message-exchange dynamic is not practical.</t>
  </si>
  <si>
    <t>difficult to trace back an email thread</t>
  </si>
  <si>
    <t>they don't seem to stay in date order</t>
  </si>
  <si>
    <t>Chain of emails difficult to navigate as they don't seem to stay in date order and sometimes appear twice .</t>
  </si>
  <si>
    <t>Crazy Domains</t>
  </si>
  <si>
    <t>I had an email invitation to me bounce from my email address last week, still having ongoing troubles with responding to emails that have depth in their email trail. [Improvement: Improve - and allow me to delete folders in my trash!!]</t>
  </si>
  <si>
    <t>Once there's more than a few emails in a chain, they are out of order</t>
  </si>
  <si>
    <t>Threads are impossible. Once there's more than a few emails in a chain, they are out of order. Just model the flow after Gmail. [Improvement: See previous note.]</t>
  </si>
  <si>
    <t>Hostgator Mexico</t>
  </si>
  <si>
    <t>mail arrangement in a thread isnt so good</t>
  </si>
  <si>
    <t>In email threads the order gets scrambled</t>
  </si>
  <si>
    <t>In email threads the order gets scrambled; it is quite confusing.</t>
  </si>
  <si>
    <t>the eyeball that shows a recipient read the email [Improvement: Subject Lines: They don't update as the thread changes. the original subject line stays at the top in BOLD.. so the conversation has changed and moved on but the subject is the same and we may have misread a subject detail that has changed]</t>
  </si>
  <si>
    <t>The email threads arent in chronological order</t>
  </si>
  <si>
    <t>The email threads arent in chronological order making finding emails very difficult. Also I continue to recieve an extremely high level of spam mail.</t>
  </si>
  <si>
    <t>Threads are impossible to follow.</t>
  </si>
  <si>
    <t>Pressable</t>
  </si>
  <si>
    <t>you put newest messages at the BOTTOM, not the TOP of any thread</t>
  </si>
  <si>
    <t>Really crude outdated app. Confusing as hell as you put newest messages at the BOTTOM, not the TOP of any thread. Bizzare!</t>
  </si>
  <si>
    <t>Like the way emails get grouped.</t>
  </si>
  <si>
    <t>email chains are always jumbled</t>
  </si>
  <si>
    <t>email chains are always jumbled.. you have to scroll up and down trying to find the latest email. Formatting options suck.</t>
  </si>
  <si>
    <t>Too slow to show updates, especially on PC. Awkward thread viewing. [Improvement: Sort those previous things out.]</t>
  </si>
  <si>
    <t>Conversation threads are not ordered properly</t>
  </si>
  <si>
    <t>The screen freezes many times and the email thread is hard to follow. [Improvement: Make the interface faster and make the email thread easier to follow]</t>
  </si>
  <si>
    <t>Conversation threads are not ordered properly.</t>
  </si>
  <si>
    <t>there is no rhythm or reason in the order in which they appear</t>
  </si>
  <si>
    <t>don't like the way email chains stack up, there is no rhythm or reason in the order in which they appear [Improvement: fix it]</t>
  </si>
  <si>
    <t>The user interface is difficult. I cannot use arrow keys within an email chain, and blocking addresses does not prevent those addresses from still sending me spam regularly. [Improvement: Fix the things I mentioned.]</t>
  </si>
  <si>
    <t>email histories end up out of order</t>
  </si>
  <si>
    <t>The email system is very bad, because attached files do not come through in the email when they are replied to. Another point is that email histories end up out of order. [Improvement: By fixing the system inputs so that emails work better.]</t>
  </si>
  <si>
    <t>Very much user friendly [Improvement: it should be easy to send one of the emails from a trailing mail]</t>
  </si>
  <si>
    <t>you can only allow the newest email at the bottom, this is highly inconvenient</t>
  </si>
  <si>
    <t>Mainly the way the Email chains are portraied. It can be confusing sometimes</t>
  </si>
  <si>
    <t>for the email thread organisation , you can only allow the newest email at the bottom, this is highly inconvenient ... you should add the function of organising the newer threads on top, so we don't need to scroll down all the way to look for the newest email [Improvement: reorganise the email thread organisation to allow newer emails on top and older emails at the bottom]</t>
  </si>
  <si>
    <t>Users need to be able to see the email addresses of all recipients in a group thread. Without this functionality, this email platform is infuriating!</t>
  </si>
  <si>
    <t>I don't understand why the most recent communication in the conversation can't just appear at the top</t>
  </si>
  <si>
    <t>It may perhaps be that I just don't know how to change the settings but I hate the way the emails are organized into conversations and it automatically hides older correspondences in the email chain. I don't understand why the most recent communication in the conversation can't just appear at the top and then all the historical communications are organized chronologically below the newest. Whatever layout you are using for emails that have replies, is really confusing and difficult to follow. [Improvement: Improve the layout as I explained in my last answer.]</t>
  </si>
  <si>
    <t>The way email threads are presented is not comfortable, especially in the mobile app, and you also cannot see all the email addresses of the people it was sent to in earlier messages.</t>
  </si>
  <si>
    <t>Jump to latest message</t>
  </si>
  <si>
    <t>I have to manually scroll through long threads to find the newest message, and currently I am landed on the last unread message.</t>
  </si>
  <si>
    <t>The email trails are always out of order</t>
  </si>
  <si>
    <t>The email trails are always out of order. Autocorrect doesn't take out the unnecessary letters. The search bar doesn't find anything well unless I search by an email address. [Improvement: Fix what I just advised.]</t>
  </si>
  <si>
    <t>"I have to scroll through all the past emails to find the latest one" - Account 7980726, 2026-03-19
"in a trailed email, it is very hard to find the last one that came in" - Account 4866745, 2026-05-08
"very hard to se the most recent message" - Account 10662219, 2026-06-30</t>
  </si>
  <si>
    <t>Because of its low storage capacity, it has no spell check while writing, the email format itself is not very practical, viewing email history is a bit confusing, etc.</t>
  </si>
  <si>
    <t>When there is an email thread the order is unclear</t>
  </si>
  <si>
    <t>When there is an email thread the order is unclear, so at times that makes you lose speed in replying or adding comments on earlier emails. [Improvement: only in the display of the order of email threads]</t>
  </si>
  <si>
    <t>It does not organise them chronologically</t>
  </si>
  <si>
    <t>The email thread is very confusing. It does not organise them chronologically. I struggle to locate the latest email and the format is not predictable enough to follow the thread. [Improvement: By changing what I mentioned above.]</t>
  </si>
  <si>
    <t>Some difficulty when viewing the history of messages exchanged. [Improvement: Fix this issue. I suggest you look yourselves at how easily Gmail handles this point.]</t>
  </si>
  <si>
    <t>The email threads chronological order is inverted</t>
  </si>
  <si>
    <t>The email threads chronological order is inverted and makes it very difficult to follow</t>
  </si>
  <si>
    <t>It just sucks. So much spam and threads are really hard to read and make sense of. Also, the desktop version won't even work for me. I have to use the app on my desktop</t>
  </si>
  <si>
    <t>The email history is not in date order. It ends up out of order</t>
  </si>
  <si>
    <t>The email history is not in date order. It ends up out of order. [Improvement: as commented]</t>
  </si>
  <si>
    <t>Can't get most recent to appear at the top, esp. when I'm replying. Very jumbled</t>
  </si>
  <si>
    <t>Having trouble with the way e-mail threads display when I open them. Can't get most recent to appear at the top, esp. when I'm replying. Very jumbled. [Improvement: See previous response]</t>
  </si>
  <si>
    <t>Email chains are very important. Responses to long email chains do not send. It is exceptionally poor functionality - especially as people need to be able to archive long lines of communications. [Improvement: Allow emails to be sent, irrespective of how long the email history is.]</t>
  </si>
  <si>
    <t>Web.com - UK</t>
  </si>
  <si>
    <t>email trails not in date order</t>
  </si>
  <si>
    <t>Finding a specific message</t>
  </si>
  <si>
    <t>very confusing layout, email trails not in date order, sometimes same email two/three times etc [Improvement: read previous comment]</t>
  </si>
  <si>
    <t>I have to search through or expand a long thread to find a specific earlier message or piece of information.</t>
  </si>
  <si>
    <t>Hard to connect to other mail box and the threads function is no good</t>
  </si>
  <si>
    <t>"it is more of a struggle to find a specific one by the date it was sent" - Account 10767743, 2026-07-20
"It takes an age to find a particular email" - Account 3836964, 2025-08-15
"they pile up and it is hard to find an email within the thread" - Account 3374249, 2026-02-19</t>
  </si>
  <si>
    <t>the email history is all out of sequence</t>
  </si>
  <si>
    <t>Because the UX is very bad - the email history is all out of sequence, it is confusing and bad. And writing an email is terrible. Fonts change on their own, I add a space and the text jumps back. In short, very bad! [Improvement: By improving the UX]</t>
  </si>
  <si>
    <t>Lack of intergration with everyday platforms like calendar, poor email chain systems</t>
  </si>
  <si>
    <t>they show up at the bottom and not the top of the email thread</t>
  </si>
  <si>
    <t>I don't like the email interface. It's easy to overlook new responses since they show up at the bottom and not the top of the email thread. [Improvement: Reverse the order of conversations in each email thread to show the newest at the top.]</t>
  </si>
  <si>
    <t>have the newest messages at the top of a conversation</t>
  </si>
  <si>
    <t>I absolutely detest the formatting of Titan. I have to scroll to the bottom of a long conversation to reply and messages are often repeated. [Improvement: Be a normal server and have the newest messages at the top of a conversation.]</t>
  </si>
  <si>
    <t>Sometimes the platform becomes very slow and emails are not sent promptly. [Improvement: By making the interface faster and making the email thread less difficult to follow]</t>
  </si>
  <si>
    <t>the message (not always the most recent) is in the middle</t>
  </si>
  <si>
    <t>When looking at email conversation chains, its very confusing....the news message may or may not be at the top. Usually what I see is the message (not always the most recent) is in the middle and duplicates of previous emails stretch upward and downward from the center. I can't read emails on my phone anymore using the app, I've given up.</t>
  </si>
  <si>
    <t>Hosting.com</t>
  </si>
  <si>
    <t>Message order seems to get mixed up</t>
  </si>
  <si>
    <t>Not very user friendly. Not so intuitive. When I have strings of emails, it is hard to see them in an organised way, and hard to reply to the right one. Often when I want to reply to the last message, I end up with my reply being drafted in the middle the middle, and then I have to go to the bottom of the string to attach a document. Message order seems to get mixed up. I find it confusing.</t>
  </si>
  <si>
    <t>Terrible interface, email threads become confusing, hard to connect to Gmail. [Improvement: ugh, complicated - rebuild it from scratch]</t>
  </si>
  <si>
    <t>Read/unread visibility</t>
  </si>
  <si>
    <t>I can't easily tell which messages inside a thread I have already read.</t>
  </si>
  <si>
    <t>No comments confidently classified into this sub-theme.</t>
  </si>
  <si>
    <t>I find it very complicated to see in an email thread which came first and which came later</t>
  </si>
  <si>
    <t>Overall it is very good, but I would like the emails to be easier to understand in terms of organisation; I find it very complicated to see in an email thread which came first and which came later. [Improvement: improve the display of the history within each email thread]</t>
  </si>
  <si>
    <t>UI could be better. Mail threads are too messy [Improvement: Work on a leaner UI and bring in some AI]</t>
  </si>
  <si>
    <t>Email threads are never in order</t>
  </si>
  <si>
    <t>Email threads are never in order [Improvement: Ensure email threads are in order of date/time sent]</t>
  </si>
  <si>
    <t>the email chain is not always displayed in order</t>
  </si>
  <si>
    <t>can't seem to control the spam and I don't like the way it organises threads of emails. Just feels messy.</t>
  </si>
  <si>
    <t>I find the search engine to look for old emails ineffective. I don't like that the email chain is not always displayed in order and I sometimes find it difficult to find the most recent email. [Improvement: Fix the things I mentioned]</t>
  </si>
  <si>
    <t>New messages should be at the top and not the bottom for easy viewing</t>
  </si>
  <si>
    <t>Message actions</t>
  </si>
  <si>
    <t>It's much harder to use than Outlook. The conversation threads make it hard to see new messages. New messages should be at the top and not the bottom for easy viewing. And the conversation mode should be an option that can be turned off. Individual messages are easier to handle and file. I can't see a way to mark messages as high priority. And the composer is awkward. [Improvement: Make it more like Outlook.]</t>
  </si>
  <si>
    <t>Mark individual message unread</t>
  </si>
  <si>
    <t>Does not keep emails as well organized as Gmail. Threads break up and get scattered.</t>
  </si>
  <si>
    <t>I can't manage the read state of a specific email independently from the rest of the thread.</t>
  </si>
  <si>
    <t>"Mark individual emails unread rather than full threads" - Account 1348064, 2022-07-21
"you can mark just one email as unread from a thread" - Account 6764889, 2026-02-09
"I would like to be able to mark a read email as new" - Account 6712333, 2025-11-25</t>
  </si>
  <si>
    <t>Redesign the viewing pane so that the latest message is at the top, not the bottom of the screen</t>
  </si>
  <si>
    <t>Messages should be viewed in descending order and we should be able to see the entire prior emails without opening them. In other words, more like Outlook's viewing design. That design makes more sense because we always need to read the latest in the conversation first. [Improvement: Redesign the viewing pane so that the latest message is at the top, not the bottom of the screen. Also, automatically display the prior emails in the conversation instead of hiding them.]</t>
  </si>
  <si>
    <t>why can't I just make it show the latest email at the top?!?!</t>
  </si>
  <si>
    <t>The interface is not good, email chains are displayed oout of sync and it can't email without printing whats on the rest ofthe screen [Improvement: see previous points]</t>
  </si>
  <si>
    <t>threading system is completely incomprehensible - why can't I just make it show the latest email at the top?!?! [Improvement: allow be to change the threading system so I can see the latest email at the top]</t>
  </si>
  <si>
    <t>I haven't been able to find any logic in the order of messages displayed</t>
  </si>
  <si>
    <t>I find the interface un-intuitive to work with, and threads of multiple emails are particularly challenging as I haven't been able to find any logic in the order of messages displayed. For that reason, I've been delaying migrating more of my email activities to Titan.</t>
  </si>
  <si>
    <t>Conversation grouping &amp; boundaries</t>
  </si>
  <si>
    <t>Not user friendly at all, especially the mobile app. [Improvement: A million things. Top of my head: make email threads scrollable on mobile. Enable notifications for emails that are sent to special folders.]</t>
  </si>
  <si>
    <t>organizes the messages in a weird order when you have a thread</t>
  </si>
  <si>
    <t>It's slow, doesn't integrate with Boomerang, organizes the messages in a weird order when you have a thread [Improvement: improve speed, integrate with boomerang, organize messages in a thread in chronological order]</t>
  </si>
  <si>
    <t>Disable Conversation View</t>
  </si>
  <si>
    <t>I'm forced to consume emails as grouped conversations even when I prefer individual messages.</t>
  </si>
  <si>
    <t>problem in group messages it is not clear and not in chronological order</t>
  </si>
  <si>
    <t>Response time is good but problem in group messages it is not clear and not in chronological order. [Improvement: Improve problem I mentioned in Group messages]</t>
  </si>
  <si>
    <t>"You cannot change email from conversation view to single email view" - Account 9235848, 2026-05-06
"Provide an options where emails do not need to be grouped by thread, but can be separated into their own email" - Account 216696, 2026-04-20
"I cant change from conversation mode to single email" - Account 7956637, 2026-03-23</t>
  </si>
  <si>
    <t>Forwarding mail is not intuitive, and following the mail history is not pleasant. [Improvement: Take Outlook or Gmail as an example]</t>
  </si>
  <si>
    <t>Fixed</t>
  </si>
  <si>
    <t>Get an email thread to read in order!</t>
  </si>
  <si>
    <t>If when looking at an email feed it was in order would have given a 10! [Improvement: Get an email thread to read in order!]</t>
  </si>
  <si>
    <t>I do not like the way the email history appears, nor the inability to resize the reply window. [Improvement: Make it more configurable and personalised by the user.]</t>
  </si>
  <si>
    <t>The threads are not in order</t>
  </si>
  <si>
    <t>The threads are not in order and I will receive notices that I have something in my box, but open it to find nothing. [Improvement: Make the most recent communication show at the top and keep the threads in a succinct order.]</t>
  </si>
  <si>
    <t>all the emails come in back to front and not in order when you reply</t>
  </si>
  <si>
    <t>all the emails come in back to front and not in order when you reply [Improvement: make it smoother when email chains are created, its very difficult to locate emaill hen in a chain]</t>
  </si>
  <si>
    <t>Clear</t>
  </si>
  <si>
    <t>The design of the email grouping is very bad and hard to access.</t>
  </si>
  <si>
    <t>Here we can not give order by latest mail in mail group</t>
  </si>
  <si>
    <t>Here we can not give order by latest mail in mail group [Improvement: We should be able to see latest mail]</t>
  </si>
  <si>
    <t>Clnky. Threads sometims seem to disappear... search facility dodgy.</t>
  </si>
  <si>
    <t>no chronology for email threads</t>
  </si>
  <si>
    <t>Worst app only notifications come on time, email takes ages to load also no chronology for email threads and visible clarity</t>
  </si>
  <si>
    <t>hard to read threads (not in the right order)</t>
  </si>
  <si>
    <t>Clunky interface, hard to read threads (not in the right order), no react possibilities, can't copy/paste addresses easily, etc. . doesn't build a contact database automatically ... Those were just the first things that came to mind.</t>
  </si>
  <si>
    <t>it would be good to have a newest on top not on the bottom</t>
  </si>
  <si>
    <t>Visualisation of mail groups is not convenient, not well readable. It's always difficult to find the last one. it would be good to have a newest on top not on the bottom.</t>
  </si>
  <si>
    <t>Separate conversation branches</t>
  </si>
  <si>
    <t>Replies and forwards meant for different audiences or contexts get appended to the same conversation, making it difficult to distinguish separate discussion branches and understand who saw what.</t>
  </si>
  <si>
    <t>i can never make sense of an email string, which came first, and so on</t>
  </si>
  <si>
    <t>On my phone, i can never make sense of an email string, which came first, and so on. I have used multtiple email clients over the course of my life, and Titan is by far the hardest to make sense out of. I have contacted support in the past, no help at all.</t>
  </si>
  <si>
    <t>"If one forwards an email to someone else, it should not then be part of the old email chain" - Account 6712333, 2025-11-25
"It groups emails and histories under the same subject; the recipients are sometimes different" - Account 6755629, 2026-02-07
"they are grouped under one even I change recipients in responding emails" - Account 3726421, 2025-03-08</t>
  </si>
  <si>
    <t>HostGator US</t>
  </si>
  <si>
    <t>some emails are above and some below when reading the latest</t>
  </si>
  <si>
    <t>I would like to be able to mark a read email as new; so that I can get back to it by easily seeing it as bold. The email chains are difficult to deal with when some emails are above and some below when reading the latest. If one forwards an email to someone else, it should not then be part of the old email chain.</t>
  </si>
  <si>
    <t>The way it orders the thread of emails already received is very bad</t>
  </si>
  <si>
    <t>The way it orders the thread of emails already received is very bad. [Improvement: Try to improve emails so they are not grouped by topic but simply by what was sent on that subject]</t>
  </si>
  <si>
    <t>I see my replies first instead of what was sent to me</t>
  </si>
  <si>
    <t>Im not always able to view past emails on my desktop. Also rhe way they are displayed when there is a long thread of messages. I see my replies first instead of what was sent to me. Very glitchy</t>
  </si>
  <si>
    <t>Thread readability &amp; structure</t>
  </si>
  <si>
    <t>Nested / quoted content readability</t>
  </si>
  <si>
    <t>The email threads get lost, they are not consecutive</t>
  </si>
  <si>
    <t>The email threads get lost, they are not consecutive.</t>
  </si>
  <si>
    <t>When an email has been replied to or forwarded repeatedly, the quoted history keeps getting narrower or hidden until older content becomes extremely difficult or impossible to read.</t>
  </si>
  <si>
    <t>"the email history makes it harder to check the messages because they keep "shrinking" towards the right-hand side" - Account 7914516, 2026-05-11
"Reading through a quoted email thread that you weren't part of is practically impossible" - Account 648473, 2026-06-16
"The message block becomes thinner and thinner, until each word in the email becomes a new line" - Account 1193270, 2022-06-21</t>
  </si>
  <si>
    <t>I'd like the most recent to show at the top, and older messages below</t>
  </si>
  <si>
    <t>I find it confusing how email threads are grouped together and would like an easier way to find attachments. The version on my laptop is a bit better than on my phone. [Improvement: In email threads, I'd like the most recent to show at the top, and older messages below, with the ability to collapse some or all if necessary. I'm not sure why some messages display above but when I scroll down they seem to be there too? It just seems confusing. And if any attachment was linked to any message in the thread, I'd like an easier way to get to it rather than having the find the specific message (on my phone specifically).]</t>
  </si>
  <si>
    <t>the string of emails responses are not in order</t>
  </si>
  <si>
    <t>Very difficult to find previous emails. Don't like the string of emails responses are not in order. Blocked form sending multiple emails within a time limit without having to upgrade my account when I could use Gmail for free. [Improvement: Tutorials. Remove restrictions.]</t>
  </si>
  <si>
    <t>Attachments in threads</t>
  </si>
  <si>
    <t>Attachment discovery &amp; access</t>
  </si>
  <si>
    <t>I have to search through individual messages to find attachments in a long conversation.</t>
  </si>
  <si>
    <t>Terrible threading, terrible interface, terrible customer service.</t>
  </si>
  <si>
    <t>"THE ATTACHMENTS FROM OTJHER EMAILS ARE IMPOSSIBLE TO FIND" - Account 7436174, 2025-10-24
"you have to scroll to the bottom of the entire thread in order to see the attachments for a recent response" - Account 8023722, 2026-04-03
"struggling to find a file attached to an email in the thread" - Account 7245148, 2026-05-06</t>
  </si>
  <si>
    <t>Attachment carry-over</t>
  </si>
  <si>
    <t>When I reply or forward within a thread, I can't easily control whether attachments from earlier messages should be included or excluded.</t>
  </si>
  <si>
    <t>stacking emails in threads in time order (not by sender)</t>
  </si>
  <si>
    <t>"attached files do not come through in the email when they are replied to" - Account 6276279, 2025-01-06</t>
  </si>
  <si>
    <t>Email service is generally good, but often laggy. [Improvement: Improve email stacking by stacking emails in threads in time order (not by sender), improve page loading times]</t>
  </si>
  <si>
    <t>or figure out which came first</t>
  </si>
  <si>
    <t>It frequently doesn't update the inbox with new emails when running in Chrome. Mine is currently 8 days behind. And the way it displays email chains is so confusing, I frequently can't find previous emails or figure out which came first - not to mention that some emails are just repeatedly shown in a thread. [Improvement: make it work in Chrome]</t>
  </si>
  <si>
    <t>I find myself scrolling up and down to try and work out what was said in the right order</t>
  </si>
  <si>
    <t>good app, does all the basics, but the way the conversation threads get stacked is confusing, I find myself scrolling up and down to try and work out what was said in the right order! So could be better in that respect. Otherwise great.</t>
  </si>
  <si>
    <t>The way it delivers the messages and in the order it delivers them is counterintuitive</t>
  </si>
  <si>
    <t>Thread reliability</t>
  </si>
  <si>
    <t>spell check is inconsistent, email chains are tough to follow and read at times, messages like "you are trying to edit a draft that doesn't exist" when it is right there in front of me - it is no better than Outlook. very disappointing [Improvement: let me preview an email without marking it as read, a better search function]</t>
  </si>
  <si>
    <t>Trying to follow a thread is difficult. The way it delivers the messages and in the order it delivers them is counterintuitive. I do like the product though. [Improvement: reorganise the way you deliver threads so it is easier to find things or at least the last message.]</t>
  </si>
  <si>
    <t>Message rendering</t>
  </si>
  <si>
    <t>When I open older messages in a thread, content can appear duplicated, hidden behind ellipses, badly formatted, or with images missing, so I can't trust that I'm seeing the complete original email.</t>
  </si>
  <si>
    <t>the order of the email thread is sometimes unclear</t>
  </si>
  <si>
    <t>"the newest email in a thread does not load and i cant see it until i press the reply button" - Account 3305982, 2026-05-04
"The root email is repeated in the chain over and over again" - Account 7578799, 2026-04-16
"Sometimes the text of email threads vanish under ... ellipses" - Account 3104383, 2026-05-16</t>
  </si>
  <si>
    <t>It is good, it is quick, but I do not like that the order of the email thread is sometimes unclear.</t>
  </si>
  <si>
    <t>Sometimes it is hard to separate the continued messages... [Improvement: Make back-and-forth messages easy to tell apart]</t>
  </si>
  <si>
    <t>The order of the email thread is not always easy to understand</t>
  </si>
  <si>
    <t>The order of the email thread is not always easy to understand.</t>
  </si>
  <si>
    <t>Ipad app is still crude. Updated contact info on iphone and ipad does not get through to titan app. Ability to delete a singke email in a thread seems missing?</t>
  </si>
  <si>
    <t>Make email trails clearer and in chronological order</t>
  </si>
  <si>
    <t>I find it difficult, the email trails are difficult to navigate [Improvement: Make email trails clearer and in chronological order]</t>
  </si>
  <si>
    <t>It is not accessible at all, emails get joined together, they do not arrive or are slow to arrive.</t>
  </si>
  <si>
    <t>THEY NEED TO BE IN ORDER</t>
  </si>
  <si>
    <t>ABSOULUTELY HATE THE WAY CONVERSATIONS ARE GROUPED. THEY NEED TO BE IN ORDER WITH OUT REPEATING THE FIRST MESSAGE OVER AND OER AGAIN, FOLLOW GMAIL!!!!! [Improvement: FOLLOW GMAIL.]</t>
  </si>
  <si>
    <t>the chain of emails do not flow well,</t>
  </si>
  <si>
    <t>Thread sharing</t>
  </si>
  <si>
    <t>Attach conversation to a new email</t>
  </si>
  <si>
    <t>When I want to share an existing email conversation with someone new, I can't attach the full thread to a new email as one object.</t>
  </si>
  <si>
    <t>Viewing email histories could be simpler. [Improvement: Improve how email histories are displayed.]</t>
  </si>
  <si>
    <t>"It is not possible to attach email threads to new emails" - Account 8525088, 2026-06-12
"Give an option to forward email threads as an attachment" - Account 9494030, 2026-08-18</t>
  </si>
  <si>
    <t>Arrange individual emails in a thread with multiple emails in chronological order</t>
  </si>
  <si>
    <t>I would have given a 10 because my overall experience has been good, however, I don't like the fact that it is often not easy to locate an email in a multiple email thread. [Improvement: Arrange individual emails in a thread with multiple emails in chronological order.]</t>
  </si>
  <si>
    <t>They could improve email interaction so you can send a message to other people without needing to send the whole email thread.</t>
  </si>
  <si>
    <t>Make the ordering of email chains more reader-friendly as the default setting</t>
  </si>
  <si>
    <t>Easy to use and inexpensive. [Improvement: Make the ordering of email chains more reader-friendly as the default setting. I have missed important emails because of being used to other reading platform formats.]</t>
  </si>
  <si>
    <t>I don't find it as easier to use as other programs. I don't like how email trails are all consolidated and you have to keep expanding them all the time to read through.</t>
  </si>
  <si>
    <t>when I respond on something it's not ordered from top to bottom like Outlook does</t>
  </si>
  <si>
    <t>I still struggle with the email thread "stacking". It's hard to explain but it is not intuitive - like when I respond on something it's not ordered from top to bottom like Outlook does. I also couldn't easily add my own comments on another person's message. Also, copying email addresses from another person's CC line was impossible. [Improvement: Just order email threads like Outlook does.]</t>
  </si>
  <si>
    <t>Make it more user friendly,like mail threads are confusing.</t>
  </si>
  <si>
    <t>Print full conversation</t>
  </si>
  <si>
    <t>sequencing of emails when you have a long thread ---- it's hard to track what was when</t>
  </si>
  <si>
    <t>When I print an email conversation, I can't reliably get one clean copy of the complete thread without messages being missed or duplicated.</t>
  </si>
  <si>
    <t>i don't like the layout, sequencing of emails when you have a long thread ---- it's hard to track what was when. Otherwise it's fine [Improvement: see above. thanks]</t>
  </si>
  <si>
    <t>One email joins with another, it becomes madness. [Improvement: Make it like Gmail]</t>
  </si>
  <si>
    <t>"In single message print .... it should print whole thread. In general print email ... it should avoid duplication print of same message" - Account 6178215, 2025-11-24
"it prints the whole string, repeating some messages multiple times" - Account 167088, 2021-04-04
"Most email threads can't be printed--it's a blank screen when I choose "print conversation."" - Account 917360, 2022-05-11</t>
  </si>
  <si>
    <t>it seems to get mixed up in the middle of the thread</t>
  </si>
  <si>
    <t>Sometimes it's hard to find the latest message in a thread (especially on a mobile), as it seems to get mixed up in the middle of the thread.</t>
  </si>
  <si>
    <t>The only thing I don't like is email strings are sometimes difficult to follow. and I'm getting a lot of spammy type emails</t>
  </si>
  <si>
    <t>the first email you see is the email you have sent, instead of the email you received last</t>
  </si>
  <si>
    <t>The order of emails is not logical at all. For example, you enter your inbox and the first email you see is the email you have sent, instead of the email you received last. There is absolutely no logic to it. [Improvement: When you click on the inbox button, you should see the same number of e-mails that you recently received, and it is very important that you can open them without threads, because that is the best way to remember and find something.]</t>
  </si>
  <si>
    <t>Papaki</t>
  </si>
  <si>
    <t>Thread hierarchy is confusing, cost is expensive</t>
  </si>
  <si>
    <t>It is very hard to follow the order in email threads</t>
  </si>
  <si>
    <t>It is very hard to follow the order in email threads [Improvement: by improving the organisation of emails and the visual side.]</t>
  </si>
  <si>
    <t>By putting the email history below, not above</t>
  </si>
  <si>
    <t>Your layout is horrible! On top of that, when we forward an email the history is completely lost. As soon as the annual contract ends, I will switch. [Improvement: By improving the layout, letting the email message fill the screen. By putting the email history below, not above.]</t>
  </si>
  <si>
    <t>Deleting one email deletes the entire conversation. [Improvement: Make it more like Gmail. Immprove customer service - make chat accessible 24/7]</t>
  </si>
  <si>
    <t>Hard to keep track of email chains.</t>
  </si>
  <si>
    <t>It is very confusing how emails are ordered once you already have an email thread with someone</t>
  </si>
  <si>
    <t>It is very confusing how emails are ordered once you already have an email thread with someone, and it often makes it complicated to find the files that were attached and the dates the email was sent.</t>
  </si>
  <si>
    <t>Hostgator Colombia</t>
  </si>
  <si>
    <t>Why can't the latest message be on top????</t>
  </si>
  <si>
    <t>The email history creates confusion...!!! [Improvement: increase capacity]</t>
  </si>
  <si>
    <t>I don't like how my messages from a thread are stacked up. I can't see the latest message easily, I often miss part of a conversation, don't see people responses, etc. Why can't the latest message be on top????</t>
  </si>
  <si>
    <t>Total classified records (a record may appear under more than one sub-theme)</t>
  </si>
  <si>
    <t>work well is intuitive easy to follow email chains good icons</t>
  </si>
  <si>
    <t>Titan sets the mail coming from the same sender in wrong order</t>
  </si>
  <si>
    <t>Sorting and chaining the mail is a big mess. Titan sets the mail coming from the same sender in wrong order and the receiver easily misses e-mails. Very often I see a notification in my phone, but in the desktop I cannot find the same mail right away. [Improvement: Pls send me instructions if I can change the settings so that Titan is not autopacking messages.]</t>
  </si>
  <si>
    <t>very hard to read email threads</t>
  </si>
  <si>
    <t>The thread of queued emails gets lost, they appear out of order</t>
  </si>
  <si>
    <t>Sometimes emails do not reach the recipients [Improvement: The thread of queued emails gets lost, they appear out of order.]</t>
  </si>
  <si>
    <t>I struggle to see the order of the mails correctly</t>
  </si>
  <si>
    <t>The display of the email history is confusing. [Improvement: Improve how email histories are displayed.]</t>
  </si>
  <si>
    <t>Well, for now everything works correctly ;) [Improvement: Sometimes with mail threads (from the same email) I struggle to see the order of the mails correctly... Maybe I just do not much like mail threads :P]</t>
  </si>
  <si>
    <t>they do not stay in sequence</t>
  </si>
  <si>
    <t>The email layout is terrible, and searching the history of received or sent emails is ridiculously bad. You need to improve this urgently. [Improvement: The way they handle emails today they do not stay in sequence, and it gets very confusing when we need to look at the history of dealings from the start.]</t>
  </si>
  <si>
    <t>Reading the email threads is difficult to follow.</t>
  </si>
  <si>
    <t>Putting new replies at the top of a thread not bottom</t>
  </si>
  <si>
    <t>There are a few file management issues which are not intuitive. [Improvement: Being able to delete unwanted email addresses. Putting new replies at the top of a thread not bottom.]</t>
  </si>
  <si>
    <t>Latest emails can appear to be added a the top OR bottom</t>
  </si>
  <si>
    <t>I often lose emails because they have been added to a conversation or existing email trail - I can never find them and it is extremely confusing to find the latest email. Latest emails can appear to be added a the top OR bottom!</t>
  </si>
  <si>
    <t>The email threads are annoying and confusing sometimes. I am receiving a lot of junk in my inbox. [Improvement: some new design for email threats for easier navigation]</t>
  </si>
  <si>
    <t>have the emails threads in an order so most recent email is always showing</t>
  </si>
  <si>
    <t>the layout of email threads is a real paid and makes it difficult to not miss new emails in the thread. [Improvement: have the emails threads in an order so most recent email is always showing, not the concertina way it is now where you can't quickly see which is newest and where others follow in order]</t>
  </si>
  <si>
    <t>Namesilo</t>
  </si>
  <si>
    <t>Make new thread emails on TOP</t>
  </si>
  <si>
    <t>Confusing long email thread, where all new messages are buried on the bottom, plus one msg.... [Improvement: Make new thread emails on TOP]</t>
  </si>
  <si>
    <t>It does the job and it does it well [Improvement: Make it easier to unravel and follow threads]</t>
  </si>
  <si>
    <t>It does not work like traditional Mail programs, ie Outlook. It is very confusing to find email, strings of emails, and does not have the same functionality. [Improvement: make it function like outlook]</t>
  </si>
  <si>
    <t>For getting at email history, the software is visually very bad.</t>
  </si>
  <si>
    <t>long email threads seem to go in weird sequences</t>
  </si>
  <si>
    <t>My email go to recipients junk if I attach a document, but I receive a read receipt suggesting it has been received and read. And I sometimes struggle to reply to an email as it tells me an email within the thread has been deleted previously, but it hasn't</t>
  </si>
  <si>
    <t>It's quite slow to send emails, the app doesn't sync up with the desktop very quickly, can't send large files, I don't want desktop notifications but the blue banner pops up, long email threads seem to go in weird sequences which makes it hard for me to find the one I'm actually replying to. [Improvement: improve the things I just mentioned]</t>
  </si>
  <si>
    <t>email trails are confusing and difficult to navigate</t>
  </si>
  <si>
    <t>I find it a bit tangled to keep track of message threads.</t>
  </si>
  <si>
    <t>their order sometimes makes no sense</t>
  </si>
  <si>
    <t>It's difficult to find email in the email chain - their order sometimes makes no sense. Whenever i start typing an email it deletes part of the word. It's not possible to open attachment in a click - you have to go through the email chain to find where exactly it was attached.</t>
  </si>
  <si>
    <t>Moderate</t>
  </si>
  <si>
    <t>email threads are confusing, otherwise it would be an exceptionally good product.</t>
  </si>
  <si>
    <t>sequencing of a conversation thread are confusing to me</t>
  </si>
  <si>
    <t>Based on not having any significant problems. But the return mail and forwarding interfaces aren't very easy to keep track of. [Improvement: The reply and forward and sequencing of a conversation thread are confusing to me.]</t>
  </si>
  <si>
    <t>The threading of messages is very had to work with</t>
  </si>
  <si>
    <t>terrible for following a group of emails in sequence</t>
  </si>
  <si>
    <t>I do not like how the grouped emails are organised; it is very confusing and terrible for following a group of emails in sequence.</t>
  </si>
  <si>
    <t>The way to follow email threads does not seem very clear to me.</t>
  </si>
  <si>
    <t>I hate the reverse threading</t>
  </si>
  <si>
    <t>For example, the email thread is confusing, and there are emails sent from Titan that do not reach the recipient. [Improvement: Make the email thread friendlier, meaning less confusing.]</t>
  </si>
  <si>
    <t>I hate the reverse threading. Also how easily multiple emails are selected. This is a terrible platform.</t>
  </si>
  <si>
    <t>Threads are impossibly difficult to navigate. Deliverability is sketchy. [Improvement: See previous.]</t>
  </si>
  <si>
    <t>the reply sequencing (email thread) can be somewhat confusing</t>
  </si>
  <si>
    <t>because it is solid and well built but still needs debugging [Improvement: the text editor can be challenging and the reply sequencing (email thread) can be somewhat confusing.]</t>
  </si>
  <si>
    <t>I like Hostinger a lot however I am unable to create a meetings and send attached documents. The UI is not very clear for scheduling meetings. For email, it is not clear to see the threads and who responded. [Improvement: By having a well structured UX/PX team.]</t>
  </si>
  <si>
    <t>I do not like how the sequence of the email chain is presented</t>
  </si>
  <si>
    <t>very confusing, slow, and I do not like how the sequence of the email chain is presented [Improvement: by adjusting what I put in the previous message]</t>
  </si>
  <si>
    <t>Terrible, hard to use threading.</t>
  </si>
  <si>
    <t>I do not like (1) the layout &amp; how email threads are archived, (2) receiving notices to buy more storage space as 80% is reached. not cool! [Improvement: Free email should be FREE.]</t>
  </si>
  <si>
    <t>I like the read receipts but it is difficult to find messages, the threads, etc.</t>
  </si>
  <si>
    <t>Email chains are very difficult to track and keep in order</t>
  </si>
  <si>
    <t>Email chains are very difficult to track and keep in order. [Improvement: Make it more like Outlook. Make chains easier to follow.]</t>
  </si>
  <si>
    <t>It is comfortable to use, only email threads are a bit confusing. [Improvement: Make the email reply thread friendlier for the user, because when you read the last one it then sort of sends you to the first one - I am not sure, but it moves around and some get confused]</t>
  </si>
  <si>
    <t>keep email strings in order</t>
  </si>
  <si>
    <t>Difficult to forward emails that you need to change. [Improvement: Make forwarding emails easier and keep email strings in order.]</t>
  </si>
  <si>
    <t>Greetings, I feel its not user friendly as Outlook , lotus notes etc.. [Improvement: 1. Identifying the chain of emails is difficult 2. Read email notification names are reflecting as someone read!!! 3. Some time delay in receiving email.]</t>
  </si>
  <si>
    <t>Reordering within the email thread</t>
  </si>
  <si>
    <t>1st, the email display is bad. If someone sends me a message and I reply, two emails sit in the inbox on top of each other with the conversation history. 2nd, the email has a system that "judges" some of the emails I send as spam and blocks them, when often they are not.</t>
  </si>
  <si>
    <t>Hi, I am not very happy with the way chained emails are displayed, it looks untidy to me. I recently sent an email and it never stayed in the Sent folder, it vanished. [Improvement: Reordering within the email thread]</t>
  </si>
  <si>
    <t>threaded display on browser confusing and jumbled</t>
  </si>
  <si>
    <t>Buggy email app with text being truncated on iPhone, threaded display on browser confusing and jumbled. [Improvement: Better threading in browser, fix the iPhone app where text can be truncated at the end of a line.]</t>
  </si>
  <si>
    <t>I do not like the system for opening email threads, it looks very disordered</t>
  </si>
  <si>
    <t>Because it is fine but I do not like the system for opening email threads, it looks very disordered.</t>
  </si>
  <si>
    <t>Can't copy email addresses. Hard to follow email threads. Not user friendly [Improvement: Copy and paste email addresses. Make it easy to track email history]</t>
  </si>
  <si>
    <t>email chains are very difficult to follow</t>
  </si>
  <si>
    <t>confusing in some ways. Threads and subject lines aren't synced, for example.</t>
  </si>
  <si>
    <t>Your system is clunky, not easy to use, especially to read email threads and respond...also constantly trying to upsell me to get basic functionality added. Not a great email system.</t>
  </si>
  <si>
    <t>The email threads are confusing and conversations get lost when opening an email with lots of threads. [Improvement: make it stop jumping around. Also, it would be great to be able to use my scroll keys in an email without making it skip to the next email.]</t>
  </si>
  <si>
    <t>simple and great platform for employees, but the email threads are a bit confusing, I often get mixed up in the messages. [Improvement: improve uxui of threads]</t>
  </si>
  <si>
    <t>because Titan groups the messages together, that is not cool</t>
  </si>
  <si>
    <t>its good but a few little snags [Improvement: long email trails are confusing]</t>
  </si>
  <si>
    <t>I hate the threading. It's an awful platform.</t>
  </si>
  <si>
    <t>When replying to emails I cannot see the email I am responding to and I cannot move the dialogue box - only minimise or maximise it. Very frustrating when you are trying to address a number of points from their message. [Improvement: by keeping the email one is replying to in view or in the thread]</t>
  </si>
  <si>
    <t>Some features that are important to me are missing and I would like Titan to have them. [Improvement: Several features, and in the display of email threads - reading an email thread in this interface is quite confusing.]</t>
  </si>
  <si>
    <t>email chain representation is awful</t>
  </si>
  <si>
    <t>Conversations are nested together in such a way that if one in a thread is deleted, then the whole thread is deleted. Also, emails don't automatically populate their respective folders, meaning more time is spent moving them to where they should be.</t>
  </si>
  <si>
    <t>Never been able to follow an email in a thread. Always have to open it through the laptop.</t>
  </si>
  <si>
    <t>I dont like getting notifications every time someone opens an email i sent. Its confusing to see a badge which is usually meant to let you lnow about new emails when it actually includes the number of sent emails that were opened. Also, it took a while to get used to how the email threads expand and collapse. It was very confusing in the beginning. But overall I'm fine with it.</t>
  </si>
  <si>
    <t>you can't view forwarded email thread</t>
  </si>
  <si>
    <t>Does not keep spam away no matter how many times I mark something as spam. Impossible to search things unless you know the exact email address. Email threads are a nightmare to go through. Phone version is even worse. [Improvement: Fix the basics.]</t>
  </si>
  <si>
    <t>I really hate this platform. The treading is incredibly awkward and difficult to use. It is far too easy to delete multiple emails by mistake. [Improvement: Fix the threading.]</t>
  </si>
  <si>
    <t>1. Some people get confuse when checking the mail trail for the back to back mail conversations. 2. A document must be downloaded first before viewing. Cant there be an option where you can view an attachment without having to download it?</t>
  </si>
  <si>
    <t>-Too expensive for what it offers -Bad search -Confusing threads hierarchy</t>
  </si>
  <si>
    <t>It is complicated to use, above all for replying to emails. You lose the thread of the conversation very easily.</t>
  </si>
  <si>
    <t>Difficult to search and dificult to read through message thread</t>
  </si>
  <si>
    <t>the way conversations are organized is sometimes confusing [Improvement: better way to organize conversations]</t>
  </si>
  <si>
    <t>I hate the way deleting a message deletes the entire thread. that is no use to me.</t>
  </si>
  <si>
    <t>pop ups, ads, the email chain format is difficult to read</t>
  </si>
  <si>
    <t>this is a clunky program. It is hard to see strings of emails and is hard to navigate. [Improvement: to improve Titan you would need to provide options on how the emails are shown along with the response string.]</t>
  </si>
  <si>
    <t>Button and features are in not obvious places, and the view of multiple emails on one thread is always tedious. [Improvement: Fix the things I mentioned :)]</t>
  </si>
  <si>
    <t>Email thread searching is not where it should be. Looking for past emails from a single person results in all group emails that person was on as well, so having to sift through that is time consuming. Compare with gmail, aim for gmail's model.</t>
  </si>
  <si>
    <t>Threads of emails are difficultto find and read on the mobile app</t>
  </si>
  <si>
    <t>Complicated compared to other email clients especially related to threads. [Improvement: Video tutorials of features and uses.]</t>
  </si>
  <si>
    <t>Long email thread doesn't work well on android</t>
  </si>
  <si>
    <t>Ease of use, clean UI and the quite solid mobile app. [Improvement: I would be happy if you could provide an option to download an entire string of messages (within the same back and forth stream) in one - even if it's just plain text.]</t>
  </si>
  <si>
    <t>It's difficult to track a chain of mails, or to look for mail addresses. Or even to watch some attachments [Improvement: By making easy to red and follow up mails]</t>
  </si>
  <si>
    <t>I find the chain of e-mails to be so confusing. [Improvement: make chain of emails intuitive and easy to follow like Gmail]</t>
  </si>
  <si>
    <t>It creates email threads and does not allow files to be opened.</t>
  </si>
  <si>
    <t>The display of emails, especially in replies, is very bad; when it is a chain of emails it is impractical. [Improvement: Copy the ones who excel at email - Outlook]</t>
  </si>
  <si>
    <t>I really like the platform a lot. I would love to see it possible to copy through a whole thread of emails so that as a therapist I could easily record the communication with one copy and paste that includes the dates of each message. In Titan I have to copy and paste each email separately. [Improvement: Already wrote this in last box.]</t>
  </si>
  <si>
    <t>I do not like the way messages thread, and I do not like the way messages automatically select to delete.</t>
  </si>
  <si>
    <t>Bad search, expensive rates, terrible thread organization....</t>
  </si>
  <si>
    <t>Hard to follow a message thread . . . Can't move message from Sent to other Folders.</t>
  </si>
  <si>
    <t>The way conversations are presented is terrible. It is very hard to read, it needs to be more like gmail or even outlook.</t>
  </si>
  <si>
    <t>Searching for one person's email to find a conversation thread is horrible. It includes group emails where that person was cc'd on something. It should sort, or prioritize single person emails, and have group emails after that. [Improvement: Read last comment]</t>
  </si>
  <si>
    <t>email threads are super confusing. [Improvement: simply the layout (see hotmail)]</t>
  </si>
  <si>
    <t>It's not that easy to use. Not great with long email chains.</t>
  </si>
  <si>
    <t>I don't like how email threads are organized at all</t>
  </si>
  <si>
    <t>Long email trails get messy and are difficult to navigate. The screen doesn't scale when I have more than one window open. [Improvement: Address the challenges mentioned in my last answer :)]</t>
  </si>
  <si>
    <t>The presentation of the conversation history is bad. [Improvement: By improving the presentation of the conversation history.]</t>
  </si>
  <si>
    <t>It is practical, efficient and simple to use. [Improvement: It is very confusing when there is an email thread]</t>
  </si>
  <si>
    <t>email stacking not good. email search not good. adding contacts not easy</t>
  </si>
  <si>
    <t>confusing for organising emails and for searching and conversation history</t>
  </si>
  <si>
    <t>Hard to read the conversation history inside a mail easily</t>
  </si>
  <si>
    <t>Sometimes, visually, email threads are not understandable. [Improvement: Make it visually more pleasant]</t>
  </si>
  <si>
    <t>Its not as user friendly as i hoped for but it has some good features. [Improvement: How long email threads are displayed]</t>
  </si>
  <si>
    <t>The interface is clunky and confusing. It's hard to navigate through a thread of messages and really confusing to know when I'm replying to one message or another in that thread. When I'm drafting a message that is more than a few lines long, the message body doesn't automatically scroll down.</t>
  </si>
  <si>
    <t>Horrible to answer emails when there is a thread</t>
  </si>
  <si>
    <t>The search is very bad, it does not find emails easily; it is ugly when you have to read an email thread and it breaks out all the emails.</t>
  </si>
  <si>
    <t>it is a brilliant and responsive email client. the only shortcoming is how it chains the emails of same subject. if it was Microsoft outlook it would have been perfect. [Improvement: make chaining of mails of same subject like microsoft outlook.]</t>
  </si>
  <si>
    <t>because notifications then do not arrive and it is hard to follow the thread with so many people copied</t>
  </si>
  <si>
    <t>Shivaami Cloud Services Pvt. Ltd</t>
  </si>
  <si>
    <t>Not able to track chain email</t>
  </si>
  <si>
    <t>Confusing with grouped emails</t>
  </si>
  <si>
    <t>Email text often missing on iPhone (bug reported a year ago, still an issue), threaded view on browser is a bit confusing once you start replying, browser often needs to reload as uses 'significant energy' on current (and recent) OSX builds.</t>
  </si>
  <si>
    <t>It's difficult to keep up with threads and I still can't get it to link with my Mac Mail app.</t>
  </si>
  <si>
    <t>When writing a new email I cannot enlarge just that window; I have to open the whole program to see that window a bit bigger. I had an email thread and needed to forward the initial email, but only the whole thread appears.</t>
  </si>
  <si>
    <t>the management of long email chains is poor. The interface is poor. It is not a tool for business. It was a mistake that I got it. [Improvement: enhance it significantly]</t>
  </si>
  <si>
    <t>the mailing trail can be better [Improvement: the mail train can be improved]</t>
  </si>
  <si>
    <t>Formatting in the email body is a bit buggy and mostly unavailable on mobile. It starts being very slow and almost unusable as threads grow. It requires signing out and then back in again to see the latest emails sometimes.</t>
  </si>
  <si>
    <t>Love it! Just don't like the message chains and how they are presented and the search function is sometime a bit dodgy</t>
  </si>
  <si>
    <t>Just not user friendly, we all have it at work and nobody can get along with it to be honest. One big issue seems to be that when we try to add recipients to emails in a trail, the screen jumps up and down, losing where you are. very annoying. [Improvement: improve clarity in email trails]</t>
  </si>
  <si>
    <t>I like the app, but the forward messaging is a big much with the layout for long messages [Improvement: better threads for forwarding]</t>
  </si>
  <si>
    <t>I really like the platform overall. One thing I keep meaning to let you know is that on the Titan app, when I type and change to new paragraph, it doesn't automatically capitalize my first word. Also, I was wondering if could be made possible to copy paste a whole thread of emails that includes the dates, so I can more easily and quickly paste them into client files.</t>
  </si>
  <si>
    <t>functionality is bad. Wont recall contacts, reply thread is confusing</t>
  </si>
  <si>
    <t>The email layout is confusing, especially when there is a conversation history in the email. [Improvement: by improving the email layout]</t>
  </si>
  <si>
    <t>I find it bulky, the threading is awkward, and messages I have not selected are deleted unintentionally. I would go back to my original Name.com email format in a second if I had the chance.</t>
  </si>
  <si>
    <t>You can't do something simple like fix the thread like normal emails, ie don't have a sent message in the inbox. If I read an email on desktop, clear it from notifications on mobile and mark as read. These are simple standard items, ie Yahoo, Outlook, etc can do it why can't you? [Improvement: Fix that blooming Thread!]</t>
  </si>
  <si>
    <t>terrible platform. hard to do searches to find previous emails. no way to condense the email threads, need to purchase upgrades for basic spam blocking and other features that are free on gmail.</t>
  </si>
  <si>
    <t>This is the easiest way for me to keep my messaging [Improvement: Make it easier to read new e-mail threads on the mobile version]</t>
  </si>
  <si>
    <t>It works and it is friendly. [Improvement: Make email threads more readable]</t>
  </si>
  <si>
    <t>It lacks mobile access and not only PC or laptop. [Improvement: mobile accessibility and simplify the email thread view]</t>
  </si>
  <si>
    <t>I HAVE A LOT OF ISSUES WITH THE EMAIL THREAD</t>
  </si>
  <si>
    <t>I'm getting Spam from people that are in my contacts and it's not them. When I get a suggestion for a typo and I select it, it adds it to my word and doesn't delete the typo. Going through email receipts is a nightmare. I have to click and unblock threads. It just need work.</t>
  </si>
  <si>
    <t>Free version is limited. The email threads are hard to work with. Usability of features are not optimal. Buttons in email are placed in poor configuration. Group management and use is poor.</t>
  </si>
  <si>
    <t>It's working great consolidating my messages from various locations.</t>
  </si>
  <si>
    <t>I don't like the replies in thread, it's very confusing, and doesn't always work for me.</t>
  </si>
  <si>
    <t>It is not possible to archive sent emails and the grouped emails get very confusing.</t>
  </si>
  <si>
    <t>because of the extra features that we have to pay... like, Undo sending email. And also when deleting an email form inbox, it will delete the whole threads of that email. not practical.</t>
  </si>
  <si>
    <t>good system apart from issues with linked emails [Improvement: linked email trails]</t>
  </si>
  <si>
    <t>The email thread is not easy to read, and people tell me they receive all the emails as junk. [Improvement: by fixing the points above.]</t>
  </si>
  <si>
    <t>Email chains are hard to follow. Copying off Gmail or outlook would be much better</t>
  </si>
  <si>
    <t>1) Email accounts in left panel disappear &amp; have to be added over &amp; over again 2) Layout of Email threads difficult to follow. And to access.</t>
  </si>
  <si>
    <t>All the conversations related to a given email are concentrated in that same email. It gets confusing and makes it hard to locate a specific conversation. [Improvement: Personally and purely from my own experience I prefer the Outlook format]</t>
  </si>
  <si>
    <t>very difficult to deal with the display of an email string. It resulted in an accidental transmission to the wrong person-- embarrasing when I was fordwared their email in a critique. Its awful GUI. [Improvement: fix how display of email strings works.]</t>
  </si>
  <si>
    <t>bad layout, disorganised, very confusing, bad for filtering emails [Improvement: improve email filtering, make it more organised, better layout, less confusing threads]</t>
  </si>
  <si>
    <t>Really clunky, and difficult to use. Email threads are a mess. Templates and saved emails disappear and you have to log out and log back in</t>
  </si>
  <si>
    <t>low space without paying, not user friendly, emails are constantly not being sent to clients mid email thread.</t>
  </si>
  <si>
    <t>Slow, unstable, bad for following the conversation history.</t>
  </si>
  <si>
    <t>Stacking emails, spell check, and search options are all horrible. [Improvement: Make it more like gmail or yahoo.]</t>
  </si>
  <si>
    <t>Stacked email responses hard to follow, the App on my phone doesn't work correctly anymore -- it takes forever to simply write a response because of a delay in the App applying keystrokes, and more.</t>
  </si>
  <si>
    <t>A2 Hosting</t>
  </si>
  <si>
    <t>long threaded emails are mess to review and reply. [Improvement: fix the threaded view]</t>
  </si>
  <si>
    <t>Confusing email history; The new email box should open in full</t>
  </si>
  <si>
    <t>The reply thread is not that easy to understand. Sometimes searching for an email becomes impossible to find. [Improvement: Simplicity.]</t>
  </si>
  <si>
    <t>Email chains are not user friendly. Attachments go missing. Emails randomly deleted</t>
  </si>
  <si>
    <t>maintaining the thread of a mail and finding the mail is a nightmare. [Improvement: better was maintain the thread of a particular mail. like in Microsoft outlook]</t>
  </si>
  <si>
    <t>Totally unorganised threads. Unsufficient search mechanism</t>
  </si>
  <si>
    <t>Conversation view is the worst.</t>
  </si>
  <si>
    <t>It has no spell checker and it is not friendly when you have an email thread from a single email. It becomes tangled and disorganised. [Improvement: Improve the experience of organising the email thread of a single email, it is very disorganised. Add a spell checker]</t>
  </si>
  <si>
    <t>the message thread cannot be modified</t>
  </si>
  <si>
    <t>Need effort to search the latest mail</t>
  </si>
  <si>
    <t>- Sent emails cannot be dragged into folders you have created. - Received emails keep grouping together and make the conversation harder to understand. - These groupings do not let you delete just one of the emails. - Forwards also get confusing.</t>
  </si>
  <si>
    <t>very hard to se the most recent message</t>
  </si>
  <si>
    <t>Its not perfect by any means [Improvement: Threading of messages is very confussing on Mobile particularily, very hard to se the most recent message. The read receipts function I don't want and apparently am not subscribed to but still the creepy eye symbol taunts me with notifications of people having opened my emails...but it is of zero value as I can't see who has anyway and don't want to..so take the whole feature away please!!!]</t>
  </si>
  <si>
    <t>In the app it opens nothing but the email thread; on top of that it does not open emails, they are only displayed in a window.</t>
  </si>
  <si>
    <t>I struggle to figure out what the latest email is</t>
  </si>
  <si>
    <t>1) Cannot build tables without being able to do HTML coding. 2) No native Windows client... No offline access to email. 3) Android client... sometimes email font is way too small to read and cannot zoom in. 4) I cannot right click or double-click any name in To, CC, BCC to get the actual email address. 5) Something is odd about when in Conversation mode. I can't put my finger on it but, I struggle to figure out what the latest email is. 6) Challenge where WebApp via Chrome reduces double/triple spaces to single space. 7) Challenge where emojis I add in the WebApp via Chrome turn into pictures. [Improvement: see last page. #1 a Windows app.]</t>
  </si>
  <si>
    <t>it is good, but it needs fixing so you can "delete messages" without deleting the earlier conversation - it groups everything and when you delete the last message it also deletes the earlier ones in that conversation [Improvement: By fixing that]</t>
  </si>
  <si>
    <t>it is more of a struggle to find a specific one by the date it was sent</t>
  </si>
  <si>
    <t>The change they made to the email was not good. It is much slower, emails from the same user get grouped, and it is more of a struggle to find a specific one by the date it was sent.</t>
  </si>
  <si>
    <t>Never have fixed my issues: not being able to file sent mail. And the chains of conversations are MISERABLE. If I get 50 replies to an email and delete any of them, ALL of them go in the trash. TERRIBLE FOR A GOVERNMENT AGENCY where emails are public records!</t>
  </si>
  <si>
    <t>in a trailed email, it is very hard to find the last one that came in</t>
  </si>
  <si>
    <t>It is a good tool, simple to use, and manages to bring all the emails together in one place.</t>
  </si>
  <si>
    <t>they pile up and it is hard to find an email within the thread</t>
  </si>
  <si>
    <t>The email thread interface is not very friendly; they pile up and it is hard to find an email within the thread. They should be more independent, the way Outlook does it. [Improvement: Make the interface friendlier]</t>
  </si>
  <si>
    <t>easy to access emails on mobile [Improvement: display of the history of emails replied to under the same subject]</t>
  </si>
  <si>
    <t>in a trailed email, it is very hard to find the last one that came in. Also I cannot add "importance" to an email that I am sending out. Not sure why this is not in the basic package. [Improvement: Is there any training sessions to show us what is included in the package I have so I see if I want to upgrade?]</t>
  </si>
  <si>
    <t>Titan needs better use of screen real estate options. I want colors for different groups of email. Long threads are too hard to follow. [Improvement: See previous]</t>
  </si>
  <si>
    <t>the conversation mode confuses me a little</t>
  </si>
  <si>
    <t>It's difficult to keep track of latest messages</t>
  </si>
  <si>
    <t>very difficult to find individual; emails in a thread</t>
  </si>
  <si>
    <t>Very user friendly, fast and straightforward [Improvement: If you could make it easier for us to easily view a thread of emails, for example the replies and responses. Can we have more stationery attached when sending an email]</t>
  </si>
  <si>
    <t>It's read confirmation is good. Grammatical correction while typing is good. However the way it keeps email messages io thread is not good. It's difficult to keep track of latest messages. [Improvement: Better management of email threads. Grouping all messages under one subject is good.. yet we need to track any new message. Some emails go unnoticed.]</t>
  </si>
  <si>
    <t>the way that the system 'stacks' emails is irritating making it very difficult to find individual; emails in a thread</t>
  </si>
  <si>
    <t>email reply stacking is worst. layouts are not user friendly [Improvement: improve the layouts and follow some UIs from Gmail]</t>
  </si>
  <si>
    <t>I find it difficult to locate previous emails, particularly when they are in an email thread</t>
  </si>
  <si>
    <t>I have to scroll through allthe past emails to find the latest one</t>
  </si>
  <si>
    <t>It gets a little confusing how the emails from one person gets grouped. When I go to open the latest one, it seems I have to scroll through allthe past emails to find the latest one. I like that they are grouped it just gets confusing which is the latest one when I go to open the newest email.</t>
  </si>
  <si>
    <t>very good customer service. still quite a lot of functions to imrpove though. The title of the email thread should be able to personalize (choose the recent email title for example). [Improvement: make the title of the email thread be able to choose]</t>
  </si>
  <si>
    <t>It takes an age to find a particular email</t>
  </si>
  <si>
    <t>I HATE the way conversations are nested. It takes an age to find a particular email, and deleting one email deletes the entire thread.</t>
  </si>
  <si>
    <t>difficult to find specific messages among a thread of multiple messages</t>
  </si>
  <si>
    <t>difficult to find specific messages among a thread of multiple messages.</t>
  </si>
  <si>
    <t>it is not intuitive, I cannot find my way around in the conversation history.</t>
  </si>
  <si>
    <t>difficulty because of threading</t>
  </si>
  <si>
    <t>It's hard trying to find emails within threads</t>
  </si>
  <si>
    <t>It's hard trying to find emails within threads, which causes me real headaches. But so does Gmail - neither of you do it as clearly as Outlook. But otherwise, Titan is pretty good and integrates with my web domain without me having to pay extra for Outlook. [Improvement: Stop clumping email threads together. I want all my emails as separate "letters" in my inbox, otherwise I can't find stuff.]</t>
  </si>
  <si>
    <t>The UI when reading chain emails is hard to navigate to the latest message</t>
  </si>
  <si>
    <t>All of the random fee's and complicated tier pricing. Charging for signature blocks, really? The UI when reading chain emails is hard to navigate to the latest message. It is worth a couple more dollars to use MS Outlook [Improvement: Flatten the tiers and simplify the pricing.]</t>
  </si>
  <si>
    <t>I don't like how it is confusing with an email chain or if anything is about a certain email, it attaches it..</t>
  </si>
  <si>
    <t>there are certain benefits, like scheduling an email and read-receipt, however, the read-receipt feature doesn't work perfectly and i can't move sent emails to a folder [Improvement: allow for individual emails to be moved/trashed apart from entire thread (while still otherwise having threading turned on)]</t>
  </si>
  <si>
    <t>it is hard to find the last one</t>
  </si>
  <si>
    <t>Searching for old e-mail in an e-mail trail is abit hectic</t>
  </si>
  <si>
    <t>Searching for old e-mail in an e-mail trail is abit hectic [Improvement: Make it more user friendly]</t>
  </si>
  <si>
    <t>Email threads are very confusing</t>
  </si>
  <si>
    <t>Heart Internet</t>
  </si>
  <si>
    <t>hard to find a specific email once it has been replied to. I have to search through a string of messages</t>
  </si>
  <si>
    <t>Really good only problem is when trying to reply to thread on emails find it difficult to only reply to one email instead of sending all of the rest of the mails with it [Improvement: See previous comment]</t>
  </si>
  <si>
    <t>It's always difficult to find the last one</t>
  </si>
  <si>
    <t>I've received a few spam emails appearing to be from Titan support, and now I don't know when I'm really communicating with support. Also, it is sometimes hard to find a specific email once it has been replied to. I have to search through a string of messages. [Improvement: I'm not sure, maybe I can set the email conversations to display differently.]</t>
  </si>
  <si>
    <t>it is often not easy to locate an email in a multiple email thread</t>
  </si>
  <si>
    <t>I like the ease of use and notifications, but find the email threads rather tricky to get to grips with</t>
  </si>
  <si>
    <t>I always have to keep clicking each email until I find what I am looking for within the thread</t>
  </si>
  <si>
    <t>I still do not understand the basic functions of the mail reader, and I have not explored them. I find it hard to see the email thread and I always have to keep clicking each email until I find what I am looking for within the thread. [Improvement: Put the basic functions in view so they can be changed in one click]</t>
  </si>
  <si>
    <t>Email threads are extremely difficult to navigate.</t>
  </si>
  <si>
    <t>titan doesnot show me the most recent email instead I have to search it in the trailing emails</t>
  </si>
  <si>
    <t>The only problem I have is, titan doesnot show me the most recent email instead I have to search it in the trailing emails.</t>
  </si>
  <si>
    <t>difficult to find emails within email threads</t>
  </si>
  <si>
    <t>difficult to find emails within email threads. difficult to integrate with outlook.</t>
  </si>
  <si>
    <t>I cannot include my email tracking subscription, any previous email addresses are not saved for auto input, the email chain is hard to read after several; these are a just a few of my issues.</t>
  </si>
  <si>
    <t>the thread is really difficult to find previous emails</t>
  </si>
  <si>
    <t>makes it hard to find a new message amongst a chain of emails</t>
  </si>
  <si>
    <t>can't send the emails I need. the thread is really difficult to find previous emails. attachments do not last to look back on</t>
  </si>
  <si>
    <t>The system is functional but it is over-engineered; grouping messages in conversations sometimes makes it hard to find a new message amongst a chain of emails</t>
  </si>
  <si>
    <t>I sometimes struggle to find specific messages in long threads</t>
  </si>
  <si>
    <t>problematic threading and cost</t>
  </si>
  <si>
    <t>Very quick, but I sometimes struggle to find specific messages in long threads. [Improvement: See previous. Thank you!]</t>
  </si>
  <si>
    <t>Sometimes find it difficult to find an email when there is a long chain of replies</t>
  </si>
  <si>
    <t>Sometimes find it difficult to find an email when there is a long chain of replies [Improvement: Presentation of latest email in a long chain]</t>
  </si>
  <si>
    <t>Impossible to find old emails when they are in a thread</t>
  </si>
  <si>
    <t>Sometimes hard to find the most recent email</t>
  </si>
  <si>
    <t>The format of email threads is terrible. Impossible to find old emails when they are in a thread [Improvement: Fix the formatting of threads]</t>
  </si>
  <si>
    <t>limited plan. difficulty with email threading. we signed up to the plan expecting it to be better than Locaweb's, but that is not what happens</t>
  </si>
  <si>
    <t>Overall a good email system. It takes a little getting used to to have the conversations arranged as email threads go on. Sometimes hard to find the most recent email. I come from Yahoo, so may just be me.</t>
  </si>
  <si>
    <t>facing huge problem in searching trailing mails</t>
  </si>
  <si>
    <t>facing huge problem in searching trailing mails, documents. [Improvement: make easy to find trailing mails and make easy to download attached documents.]</t>
  </si>
  <si>
    <t>Messages grouped into the same conversation make them harder to manage. I have already raised a ticket and complained, and the answer is simply that it is just how it is.... Support is also very robotic.</t>
  </si>
  <si>
    <t>hard to find individual replies</t>
  </si>
  <si>
    <t>the way it stacks replies is clumsy and hard to find individual replies, often hiding new replies. Very frustrating</t>
  </si>
  <si>
    <t>difficult to follow threads and find previous information</t>
  </si>
  <si>
    <t>inbox organization and disappeance of email trails</t>
  </si>
  <si>
    <t>Sometimes it is difficult to follow threads and find previous information. [Improvement: Easier to navigate email threads]</t>
  </si>
  <si>
    <t>Having the emails grouped together and not in a thread by sender is confusing and hard to manuever.</t>
  </si>
  <si>
    <t>Because of how complex it is to organise the mailboxes, since all similar messages end up grouped into a single tab. And because of the continuous sending of improper emails using company accounts.</t>
  </si>
  <si>
    <t>it is difficulty to pick the mail to reply from a long history of the same email thread</t>
  </si>
  <si>
    <t>It is a paid version, yet you get too many upgrade prompts. You cannot change email from conversation view to single email view. Sometimes, it is difficulty to pick the mail to reply from a long history of the same email thread [Improvement: Fix the issues.]</t>
  </si>
  <si>
    <t>you have to scroll up and down trying to find the latest email</t>
  </si>
  <si>
    <t>because it is a very decent app [Improvement: On the web it has limitations such as: not being able to open the email in a wide screen; another detail is that I do not want to write on top of an email thread - that is, when I compose a new email I do not want it to pull in the previous thread because I lose time.]</t>
  </si>
  <si>
    <t>you gotta scroll up and down to find past replies</t>
  </si>
  <si>
    <t>I don't give out a perfect score but is the good mail client. [Improvement: Enable threaded view for emails.]</t>
  </si>
  <si>
    <t>Makes it very challenging to find previously sent information</t>
  </si>
  <si>
    <t>Im not a big fan on how the replies on same email chain stack or the view on them either. Makes it very challenging to find previously sent information. Im also finding items that I mark as spam don't go to the spam folder. And I continue getting the emails. Plus i dibt like how i have to diwnload attachments just to quickly 'view' them. Pain point for sure.</t>
  </si>
  <si>
    <t>email threading is a disaster [Improvement: sort out email threading]</t>
  </si>
  <si>
    <t>so we don't need to scroll down all the way to look for the newest email</t>
  </si>
  <si>
    <t>it becomes difficult to locate specific messages easily</t>
  </si>
  <si>
    <t>Yes, It would be appreciated if emails could be sent individually rather than grouped together. When emails are combined, especially when multiple people are involved, it becomes difficult to locate specific messages easily.</t>
  </si>
  <si>
    <t>I think because I have an "Outlook" model as my reference, the way the email history and attached files are displayed confuses me a little</t>
  </si>
  <si>
    <t>I struggle to locate the latest email</t>
  </si>
  <si>
    <t>its very difficult to figure out individual email</t>
  </si>
  <si>
    <t>Replying is messy, whole thread appears. Colour coding email flags would be great</t>
  </si>
  <si>
    <t>you bundle all emails into one zipped email, its very difficult to figure out individual email, often leading to respond to incorrect email. better if each is shown individually on screen according to date and time. [Improvement: keep the emails in inbox and outbox as per time and date of email instead of zipped up into one]</t>
  </si>
  <si>
    <t>it is somewhat hard to find something specific if it is part of an email history</t>
  </si>
  <si>
    <t>It is a good messaging platform. [Improvement: Improve email search results - it is somewhat hard to find something specific if it is part of an email history]</t>
  </si>
  <si>
    <t>It is slow, the string of emails can get confusing. I have it open on my phone and laptop and this confuses it [Improvement: fix the problems mentioned]</t>
  </si>
  <si>
    <t>I find it very difficult to find the most recent messages in a thread</t>
  </si>
  <si>
    <t>This isn't a bad score! The biggest problem is that I find it very difficult to find the most recent messages in a thread. Also, when forwarding a message back to the person one sent it to first, it would be good to be able to modify the subject line. [Improvement: Please see previous response.]</t>
  </si>
  <si>
    <t>Very difficult to find previous emails</t>
  </si>
  <si>
    <t>email threads are too confusing [Improvement: improve email thread system]</t>
  </si>
  <si>
    <t>Trying to find something in an email thread is almost impossible</t>
  </si>
  <si>
    <t>sometimes the thread display is not easy to understand</t>
  </si>
  <si>
    <t>It's so bad guys it's so unintuitive in like every way. The mobile app doesn't send push notifications anymore and I CANNOT get it to switch back on. The fact that tracking is turned on by default is crazy. Trying to find something in an email thread is almost impossible, it's laid out SO unintuitively. Every choice you made I would have made differently. Sorry [Improvement: Start from scratch]</t>
  </si>
  <si>
    <t>it's hard to find the latest message in a thread</t>
  </si>
  <si>
    <t>Rumahweb</t>
  </si>
  <si>
    <t>Email trails are hard to keep up with. Once you start an email and begin responding, the way it's set up to see responses, etc., is not user friendly.</t>
  </si>
  <si>
    <t>it becomes confusing and difficult to find one email that is needed</t>
  </si>
  <si>
    <t>Because it really helps me in communicating with correct writing rules. [Improvement: The email sequence can be set to stand alone without having to be combined into one continuous email. Because sometimes it becomes confusing and difficult to find one email that is needed.]</t>
  </si>
  <si>
    <t>Too difficult to use the related emails (email strings).</t>
  </si>
  <si>
    <t>cannot see which is the latest email</t>
  </si>
  <si>
    <t>to hard to find emails when they are in threads</t>
  </si>
  <si>
    <t>email thread is a mess.. cannot see which is the latest email [Improvement: please add email thread function better]</t>
  </si>
  <si>
    <t>Zyro</t>
  </si>
  <si>
    <t>Email threads are incredibly tangled and hard to read/organize on both desktop and mobile. I do like Titan &amp; Zyro a lot and appreciate the constant updates. [Improvement: de-clutter the email threads in Titan, especially regarding forwarded emails]</t>
  </si>
  <si>
    <t>it's not clear what is the most recent email</t>
  </si>
  <si>
    <t>I don't like how the email threading works, I find it very easy to lose follow up emails because it's not clear what is the most recent email. [Improvement: Fix the email threading issue!]</t>
  </si>
  <si>
    <t>It is a clunky email. I am used to gmail and prefer how it reads. Especially long email threads</t>
  </si>
  <si>
    <t>I frequently can't find previous emails</t>
  </si>
  <si>
    <t>Sending and receiving is very slow. The message thread cannot be modified, complicated to work with</t>
  </si>
  <si>
    <t>OnlyDomains</t>
  </si>
  <si>
    <t>I have not managed to work the spell checker. When there is an email thread it is not friendly to forward a specific email. [Improvement: Corporate WhatsApp for corporate service]</t>
  </si>
  <si>
    <t>Sometimes difficult in a thread to find the exact email</t>
  </si>
  <si>
    <t>Very reliable, intuitive, great options, love it the best I ever had [Improvement: Sometimes difficult in a thread to find the exact email and attachment]</t>
  </si>
  <si>
    <t>I sometimes find it difficult to find the most recent email</t>
  </si>
  <si>
    <t>email 'trails' lack clarity [Improvement: better management of mail trail]</t>
  </si>
  <si>
    <t>it takes longer to find info buried in old threads</t>
  </si>
  <si>
    <t>It's pretty good, but I find the way threads of conversation are presented quite clunky and it takes longer to find info buried in old threads than, for example, in Outlook.</t>
  </si>
  <si>
    <t>I like the interface, and how the email chain is organised. If I could make one suggestion to the team, I would only say that an option similar to Google Drive would be good.</t>
  </si>
  <si>
    <t>It works very well, only it is a bit confusing when you have to read many emails from the same thread [Improvement: Improve the display of email threads, which become very confusing to read.]</t>
  </si>
  <si>
    <t>When I get a new email from a thread, I have to scroll and scroll to find the latest email</t>
  </si>
  <si>
    <t>Email threads are hard to go through. When I get a new email from a thread, I have to scroll and scroll to find the latest email.</t>
  </si>
  <si>
    <t>it throws me off having to hunt for it in a thread</t>
  </si>
  <si>
    <t>Inbox loads more slowly than on Gmail, it's hard to scroll on an email thread.</t>
  </si>
  <si>
    <t>good price. my messages get grouped still sometimes and it throws me off having to hunt for it in a thread. Even after the majority are not threaded (which is because I checked the box not to do that).</t>
  </si>
  <si>
    <t>I often have to scroll a lot of times just to read the latest email</t>
  </si>
  <si>
    <t>I like how I get to know that my client has read my email. [Improvement: Please make every thread clean. I often have to scroll a lot of times just to read the latest email.]</t>
  </si>
  <si>
    <t>Having to delve through a million emails to reference one further back in the conversation</t>
  </si>
  <si>
    <t>Good but not perfect... web invites for teams and zoom don't always come up with the links, but the whole html script, sometimes having to scroll to the bottom of the thread to reply... a few small things.</t>
  </si>
  <si>
    <t>Poor UI and poor execution. [Improvement: Provide the very simple non-conversation view of emails. Having to delve through a million emails to reference one further back in the conversation is the actual literal worst thing ever.]</t>
  </si>
  <si>
    <t>I can't see the latest message easily</t>
  </si>
  <si>
    <t>messages from the same sender get joined together and afterwards it is impossible to find old messages</t>
  </si>
  <si>
    <t>the threading system is absolutely terrible</t>
  </si>
  <si>
    <t>The desktop interface is unfriendly and the inbox is horrible; messages from the same sender get joined together and afterwards it is impossible to find old messages. [Improvement: By changing the way messages are grouped.]</t>
  </si>
  <si>
    <t>trying to track previous emails within an email chain is a right mission</t>
  </si>
  <si>
    <t>For a relatively new inbox the spam we get hit by is really bad - also sometimes trying to track previous emails within an email chain is a right mission!</t>
  </si>
  <si>
    <t>diificult finding the latest</t>
  </si>
  <si>
    <t>- not friendly user friendly especially in chain emails, diificult finding the latest - When you copy paste a table from xls doc it does not appear correctly</t>
  </si>
  <si>
    <t>Still lacking a lot of basic features. Though I do like the simple interface. Aliases should automatically follow the ones used in the thread and not the admin@</t>
  </si>
  <si>
    <t>searching through a thread of emails is extremely difficult</t>
  </si>
  <si>
    <t>lots of little random things wrong with it that make it not user friendly. for example - attachments are hard to search for/by, and hard to open when attached to an outgoing emial that's not sent yet. the system logs you out but doesn't tell you. also, searching through a thread of emails is extremely difficult, or out of order, and very hard to find any old attachments on threads of emails in the sent or deleted items inbox. [Improvement: see prior message]</t>
  </si>
  <si>
    <t>The message thread does not appear in an easy to read / move manner [Improvement: Change to a better message thread view]</t>
  </si>
  <si>
    <t>I find Titan confusing when we try to find older messages</t>
  </si>
  <si>
    <t>I compare Titan with Yahoo since I have an account there too; I find Titan confusing when we try to find older messages. [Improvement: make it easier when we search for older messages - conversation history.]</t>
  </si>
  <si>
    <t>don't like how messages stack on each other. Can't find the latest</t>
  </si>
  <si>
    <t>Formats don't carry. lose messages easily. don't like how messages stack on each other. Can't find the latest. Don't like I can't pull up 1 message and expand</t>
  </si>
  <si>
    <t>if you have to look for some old piece of information it is very hard</t>
  </si>
  <si>
    <t>the way it groups emails is very confusing</t>
  </si>
  <si>
    <t>1. In email threads sometimes the first ones are not shown. 2. Filters do not work well. All in all, if you have to look for some old piece of information it is very hard.</t>
  </si>
  <si>
    <t>it piles up all the emails from the same recipient; it is very complicated to find emails</t>
  </si>
  <si>
    <t>I do not like the design, where it piles up all the emails from the same recipient; it is very complicated to find emails [Improvement: by not joining all the mails together. allow moving from one email to the next]</t>
  </si>
  <si>
    <t>It's not intuitive how to find the latest message in a thread</t>
  </si>
  <si>
    <t>Organising by topic makes it harder to send to clients, having to send all the earlier conversations and not just the specific one; very few options for changing preferences.</t>
  </si>
  <si>
    <t>I really don't like conversation view. It's not intuitive how to find the latest message in a thread. I wish this default feature could be disabled [Improvement: Give us the option not to have conversation view]</t>
  </si>
  <si>
    <t>message history gets messy</t>
  </si>
  <si>
    <t>Emails from the same recipient get joined together, which makes it harder to search for information</t>
  </si>
  <si>
    <t>Emails from the same recipient get joined together, which makes it harder to search for information.</t>
  </si>
  <si>
    <t>The conversation threads make it hard to see new messages</t>
  </si>
  <si>
    <t>I can't set it up on my desktop to access mails off line. [Improvement: needs to be better at showing the email trail]</t>
  </si>
  <si>
    <t>TAKES ME A LOT OF TIME TO FIGURE OUT THE RELEVANT MESSAGE</t>
  </si>
  <si>
    <t>DONT LIKE THE THREADED VIEW OF THE MAILS. TAKES ME A LOT OF TIME TO FIGURE OUT THE RELEVANT MESSAGE. PLUS PLEASE ADD TO DO LIST</t>
  </si>
  <si>
    <t>Sometimes it is confusing to work out which is the last mail received</t>
  </si>
  <si>
    <t>It is dynamic, intuitive and quick. [Improvement: that received mails within an email thread could be identified better. Sometimes it is confusing to work out which is the last mail received... or when you want to reply.]</t>
  </si>
  <si>
    <t>We are having several problems with it. Internal emails that are not delivered and the difficult display of the conversation history, among others</t>
  </si>
  <si>
    <t>It gets too confusing to find the one email in the thread that I have to respond to</t>
  </si>
  <si>
    <t>I prefer my inbox to have ungrouped emails (not threads). It gets too confusing to find the one email in the thread that I have to respond to. I am looking for a new provider. [Improvement: please allow users to change the default to ungroup email threads. I want individual emails.]</t>
  </si>
  <si>
    <t>It is confusing to have to scroll around to locate the most recent reply</t>
  </si>
  <si>
    <t>It's good. Room for improvement, all good :) [Improvement: The way conversations are grouped. An easier way to see the read receipts. Push notifications are not always coming through.]</t>
  </si>
  <si>
    <t>In general, I like Titan email. However, I have difficulty following a thread on my iPhone and iPad. It is confusing to have to scroll around to locate the most recent reply. Maybe it's me, but I haven't been able to figure out how to separate the emails so that all correspondence is visible as separate emails in either the inbox or sent. [Improvement: Provide more preferences on the mobile versions]</t>
  </si>
  <si>
    <t>SOOOOO difficult to find replys</t>
  </si>
  <si>
    <t>The interface with WP.Titan is awful. The threading of messages is ABSOLUTELY horrendous. SOOOOO difficult to find replys. HATE IT. Also, there are TOO many instances where I have to FORCE SEND emails that do not get pushed through. [Improvement: Fix what I just said was terrible about Titan.]</t>
  </si>
  <si>
    <t>IT IS NO GOOD AS EMAIL, THERE ARE MANY BETTER ONES. YOU CANNOT FIND AN ADDRESS OR PART OF AN EMAIL. YOU SEND AN EMAIL AND THE WHOLE HISTORY GOES WITH IT, AND IN SOME CASES YOU NEED THE OTHER PARTY TO READ ONLY ONE PART AND NOT ALL OF IT. [Improvement: WHEN FORWARDING, DO NOT INCLUDE THE WHOLE CONVERSATION THREAD, ONLY THE LAST ONE.]</t>
  </si>
  <si>
    <t>Makes it very difficult to find emails when you have 100 emails in a thread</t>
  </si>
  <si>
    <t>it is not clearly highlighted which is the last email received in the conversation</t>
  </si>
  <si>
    <t>No option to change conversation/thread view to standard view!! Makes it very difficult to find emails when you have 100 emails in a thread. Often overlook emails due to this also. Also not being able to delete emails within a thread without deleting the whole thread. [Improvement: Allow option for standard view instead of mandatory conversation thread.]</t>
  </si>
  <si>
    <t>- I find the way the conversation history is presented confusing; it is not clearly highlighted which is the last email received in the conversation; - It is not possible to select several emails at once; - It is not possible to filter so that only certain senders are forwarded to another email. [Improvement: by looking at what I have already said.]</t>
  </si>
  <si>
    <t>1. We can't bulk select after search 2. The inbox is too small 3. Can't autoforward to multiple emails. 4. The email thread view is very confusing. [Improvement: Kindly fix the issues I mentioned earlier]</t>
  </si>
  <si>
    <t>I often get lost trying to find some of them</t>
  </si>
  <si>
    <t>The way the emails group together is confusing; I often get lost trying to find some of them. [Improvement: In this case, by imitating Outlook and not Gmail]</t>
  </si>
  <si>
    <t>Sometimes I miss new messages when they are in a message thread and find going through the thread to find the new message a pain</t>
  </si>
  <si>
    <t>It doesn't work on all browsers. Conversations are a bit tricky to handle - they do get very confusing when they are a bit longer. At some point and time you simply have no idea anymore at what position in the thread you are. [Improvement: Check browser compatibility. Make threads from conversations more reader friendly.]</t>
  </si>
  <si>
    <t>Chained emails are hard to find. When grouped by subject it is often complicated to find the emails</t>
  </si>
  <si>
    <t>Chained emails are hard to find. When grouped by subject it is often complicated to find the emails. I do not know whether there is an individual email option.</t>
  </si>
  <si>
    <t>I've only been using it for a short time. so far, it has met all of my needs. I like that I am notified when someone has opened my emails. [Improvement: Sometimes I miss new messages when they are in a message thread and find going through the thread to find the new message a pain.]</t>
  </si>
  <si>
    <t>It's good but not great. The way the emails nest is sub optimal..</t>
  </si>
  <si>
    <t>creates real difficulty finding an email we sent or received when the conversation is long</t>
  </si>
  <si>
    <t>I had given my opinion before. This platform gives no option to separate the emails, which makes it very confusing and creates real difficulty finding an email we sent or received when the conversation is long. This situation has already caused trouble by replying to the wrong message. One opinion: do it like Google's platform, create the option for emails not to stack one on top of the other.</t>
  </si>
  <si>
    <t>Email threads are hard to decipher easily the exact email that was sent last</t>
  </si>
  <si>
    <t>Email threads are hard to decipher easily the exact email that was sent last. Also struggle to find some emails in the search option</t>
  </si>
  <si>
    <t>VERY VERY DIFFICULT TO USE [Improvement: THE WAY YOU STACK EMAIL, VERY HARD TO USE AND UNDERSTAND.]</t>
  </si>
  <si>
    <t>it is hard to see or identify emails within email threads</t>
  </si>
  <si>
    <t>The application is good; however it is often not that friendly and it is hard to see or identify emails within email threads.</t>
  </si>
  <si>
    <t>Very difficult to find emails when threads are over 100 emails long</t>
  </si>
  <si>
    <t>Same reason as you always ask and never correct. Group email conversations is a big pain. Also not being to delete within the conversations. Very difficult to find emails when threads are over 100 emails long! [Improvement: Allow option to not have conversation threads!!]</t>
  </si>
  <si>
    <t>I really hating scrolling down to see the latest email</t>
  </si>
  <si>
    <t>I really hating scrolling down to see the latest email. The attachments are not easy to find either when threads get too long. Thinking about going back to Gmail.</t>
  </si>
  <si>
    <t>It is a challenge when I have to go back to find emails</t>
  </si>
  <si>
    <t>There is no undo feature and I do not like the manner in which the email threads appear. It is a challenge when I have to go back to find emails. [Improvement: Create an undo function and follow an outlook format for emails.]</t>
  </si>
  <si>
    <t>because the web client has issues updating threads in sync with the mobile app, I had to log back in to resync. nothing was lost, but minor annoyance.</t>
  </si>
  <si>
    <t>Takes time to find the last e-mail received when you open a thread</t>
  </si>
  <si>
    <t>Takes time to find the last e-mail received when you open a thread. It's not organized properly.</t>
  </si>
  <si>
    <t>your grouping of emails makes it a pain to find things I am looking for</t>
  </si>
  <si>
    <t>your grouping of emails makes it a pain to find things I am looking for - this is a major pain point that you need to fix fast. [Improvement: see before]</t>
  </si>
  <si>
    <t>everything is perfect except reading mail "discussions" (when a large number of mails chain together). [Improvement: see previous comment]</t>
  </si>
  <si>
    <t>when you open a new email it buries you deep in an email thread instead of on the most recent email</t>
  </si>
  <si>
    <t>It has a quirk where when you open a new email it buries you deep in an email thread instead of on the most recent email.</t>
  </si>
  <si>
    <t>searching the history of received or sent emails is ridiculously bad</t>
  </si>
  <si>
    <t>Email is very complicated to understand! It keeps grouping the messages! Every so often messages disappear from the mailbox. We are even changing domain because of this email.</t>
  </si>
  <si>
    <t>it is extremely confusing to find the latest email</t>
  </si>
  <si>
    <t>Very difficult to find emails, emails often missed</t>
  </si>
  <si>
    <t>Threads get lost too easily, doesn't refresh quickly enough, makes things confusing. Maybe there's a desktop application i'm missing?</t>
  </si>
  <si>
    <t>Incredibly frustrating having conversation threads. I often have 50-100 emails in a thread. Very difficult to find emails, emails often missed, can't delete irrelevant emails in the thread. I hate this system. [Improvement: Have option for single emails, NOT CONVERSATION THREAD!]</t>
  </si>
  <si>
    <t>It's clunky. Difficult to move through a thread. Search is pretty bad.</t>
  </si>
  <si>
    <t>I have to hunt through email chains to make sure I'm answering the correct email</t>
  </si>
  <si>
    <t>Workable, but not so intuitive--for instance, I have to hunt through email chains to make sure I'm answering the correct email. [Improvement: see previous answer]</t>
  </si>
  <si>
    <t>We sometimes have no idea new messages have come in, on a each thread</t>
  </si>
  <si>
    <t>All of our emails are clumped in one thread and as a result we have lost many messages. We sometimes have no idea new messages have come in, on a each thread. We have opened another email address which meets our needs. [Improvement: Please read my first paragraph.]</t>
  </si>
  <si>
    <t>makes it difficult to not miss new emails in the thread</t>
  </si>
  <si>
    <t>It's very hard to find old messages</t>
  </si>
  <si>
    <t>all new messages are buried on the bottom</t>
  </si>
  <si>
    <t>It's very hard to find old messages. I would greatly prefer that they were not grouped together. [Improvement: Please have an option to ungroup the messages]</t>
  </si>
  <si>
    <t>it isnt always clear which is the most resent one</t>
  </si>
  <si>
    <t>I really dont like the layout, when i open an email i can get a whole list of past emails fro me and that person, it isnt always clear which is the most resent one. [Improvement: change the layout. make current emails more obvious, hide the past email chain moreso]</t>
  </si>
  <si>
    <t>It's confusing when there a long conversation trying to find the actual email you want to respond to</t>
  </si>
  <si>
    <t>Can't delete individual emails from chain emails. It's confusing when there a long conversation trying to find the actual email you want to respond to. The layout is much like Gmail</t>
  </si>
  <si>
    <t>We should be able to see latest mail</t>
  </si>
  <si>
    <t>I often miss emails or it's difficult to find emails</t>
  </si>
  <si>
    <t>The fact conversation threads are grouped makes my life/work very difficult. I sometimes have over 100 emails in one thread and I often miss emails or it's difficult to find emails. Drives me so mad. I hate it. [Improvement: Fix option to have each email separate - NOT IN A THREAD!!!]</t>
  </si>
  <si>
    <t>IT IS FRUSTRATING trying to find emails</t>
  </si>
  <si>
    <t>The emails are always in conversation format IT IS FRUSTRATING trying to find emails. every thing else I can work around, but that is a reason to stop using it. [Improvement: take the emails out of conversation mode.]</t>
  </si>
  <si>
    <t>Cumulatively I've wasted hours trying to find old emails</t>
  </si>
  <si>
    <t>The main reason is the emails being grouped with no opportunity to turn off this layout. A lot of the time it makes it much harder for me to find an email than if they were all individually itemised in my inbox. Cumulatively I've wasted hours trying to find old emails! The second is not being able to cut and paste email addresses into a new email. [Improvement: Addressing the points I've outlined!]</t>
  </si>
  <si>
    <t>often hiding new replies</t>
  </si>
  <si>
    <t>Its very difficult to find emails with conversations all grouped together</t>
  </si>
  <si>
    <t>Its very difficult to find emails with conversations all grouped together. Often miss emails. Until you can have individual emails arriving in inbox in order, not grouped with other conversations, then this is a very frustrating system. [Improvement: REMOVE CONVERSATION THREAD!!!!!!!!! IT'S HORRIBLE! Or option to change to normal view.]</t>
  </si>
  <si>
    <t>its very difficult to locate emaill hen in a chain</t>
  </si>
  <si>
    <t>e mails stack up on the name so sometimes I miss a new e mail</t>
  </si>
  <si>
    <t>Cos it is not the easiest e mail [Improvement: e mails stack up on the name so sometimes I miss a new e mail]</t>
  </si>
  <si>
    <t>It's difficult to find email in the email chain</t>
  </si>
  <si>
    <t>Difficult to identify from where the trail mail start</t>
  </si>
  <si>
    <t>Interface is not good. Difficult to identify from where the trail mail start.</t>
  </si>
  <si>
    <t>Hard to search thru the chains</t>
  </si>
  <si>
    <t>an email will arrive, and it is on an old one, not the new one. then I have to look for it</t>
  </si>
  <si>
    <t>I dont like the stacked emails. Hard to search thru the chains.</t>
  </si>
  <si>
    <t>it is tough to read the email chain at times - an email will arrive, and it is on an old one, not the new one. then I have to look for it. it is not helpful to have to scroll in both directions, when it makes more sense to scroll in only one direction</t>
  </si>
  <si>
    <t>lay out is hard to recall messages in threads</t>
  </si>
  <si>
    <t>lay out is hard to recall messages in threads. Attachments often unavailable and doesn't work with outside apps.</t>
  </si>
  <si>
    <t>It's very difficult to see what's happened previously</t>
  </si>
  <si>
    <t>I don't like how email threads work, It's very difficult to see what's happened previously</t>
  </si>
  <si>
    <t>Thread views make it difficult to respond to latest emails</t>
  </si>
  <si>
    <t>Thread views make it difficult to respond to latest emails. Visibility of senders addresses when wanting to copy from a previous group email not straightforward.</t>
  </si>
  <si>
    <t>All the emails group together and it is hard to find things</t>
  </si>
  <si>
    <t>All the emails group together and it is hard to find things.</t>
  </si>
  <si>
    <t>to think which one was the message I want to read</t>
  </si>
  <si>
    <t>cause I am lost in conversation link sometimes [Improvement: the conversation chain is good think but to be put at a place where I can reach it without to be all the time infront of me and to think which one was the message I want to read. Outlook has a good decision at this topic]</t>
  </si>
  <si>
    <t>I have even missed very important messages</t>
  </si>
  <si>
    <t>Hard to find the mail history again</t>
  </si>
  <si>
    <t>Hard to find the mail history again. Reading the page is not very obvious. [Improvement: that is your job!]</t>
  </si>
  <si>
    <t>The chaining of the coming messages is not very clear and I have even missed very important messages for that.</t>
  </si>
  <si>
    <t>when opening an email, the complete thread automatically appears so that you can easily look up previous exchanges</t>
  </si>
  <si>
    <t>I find the email rather difficult to use compared to other platforms [Improvement: I think it would help if, when opening an email, the complete thread automatically appears so that you can easily look up previous exchanges.]</t>
  </si>
  <si>
    <t>There is certain inconvenience to select required message from email thread</t>
  </si>
  <si>
    <t>There is certain inconvenience to select required message from email thread. Bugs to be fixed for Chrome.</t>
  </si>
  <si>
    <t>threads are terrible you can easily miss a message</t>
  </si>
  <si>
    <t>hard to access emails in an email chain</t>
  </si>
  <si>
    <t>too overly complicated. hard to access emails in an email chain [Improvement: you can't]</t>
  </si>
  <si>
    <t>makes it hard to read emails that were sent earlier within that same subject</t>
  </si>
  <si>
    <t>because the message grouping setting, when there is a lot of email back and forth, makes it hard to read emails that were sent earlier within that same subject [Improvement: by grouping the conversations]</t>
  </si>
  <si>
    <t>It's easy to overlook new responses</t>
  </si>
  <si>
    <t>It's IMPOSSIBLE to find and respond to emails</t>
  </si>
  <si>
    <t>Need an alternative to conversation mode. It's IMPOSSIBLE to find and respond to emails. [Improvement: Alternative to conversation mode. I want to see each email individually. Also want to be able to "pop-out" individual emails.]</t>
  </si>
  <si>
    <t>Sometimes is difficult search mails thread</t>
  </si>
  <si>
    <t>Great platform! Sometimes is difficult search mails thread.</t>
  </si>
  <si>
    <t>Very bad for finding email histories</t>
  </si>
  <si>
    <t>Very bad for finding email histories, it mixes all the emails into a single screen; etc..</t>
  </si>
  <si>
    <t>difficult to view latest emails</t>
  </si>
  <si>
    <t>Clunky - difficult to view latest emails and right now it's repeatedly notifying me of the same email and driving me mad. [Improvement: Stop grouping emails by conversation. Fix the reminders thing.]</t>
  </si>
  <si>
    <t>going back to email chains is a Task</t>
  </si>
  <si>
    <t>i like the read receipts. however going through old emails. is an absolute Task. that would be something to fix. but its a great email platform [Improvement: going back to email chains is a Task.]</t>
  </si>
  <si>
    <t>if I forward one e-mail to few different peoples, its hard to find that email afterwards</t>
  </si>
  <si>
    <t>why its impossible to disable mail threads? Some time if I forward one e-mail to few different peoples, its hard to find that email afterwards... [Improvement: Just add possibility to disable mail threads... ;)]</t>
  </si>
  <si>
    <t>I can't find emails very easily</t>
  </si>
  <si>
    <t>There are too many bad points to this email service - I don't like how the conversations are grouped and I can't find emails very easily. Wish we had never moved over to this email. [Improvement: needs a complete refurb and changes]</t>
  </si>
  <si>
    <t>It's not clear what the old messages and what's the new messages</t>
  </si>
  <si>
    <t>The U.I is confusing when showing an e-mail chain. It's not clear what the old messages and what's the new messages. [Improvement: Make the U.I similar to outlook]</t>
  </si>
  <si>
    <t>Most recent emails in a chain should be easy to find</t>
  </si>
  <si>
    <t>Emails get really messed up in long email chains when forwarding email from further back in a chain. [Improvement: Most recent emails in a chain should be easy to find, probably the last one in a chain while the others are 'collapsed' behind - but still accessible with a button.]</t>
  </si>
  <si>
    <t>It's difficult to see which emails are new, most recent</t>
  </si>
  <si>
    <t>It's difficult to see which emails are new, most recent. The set up of the threads is repetitive and confusing. Finally, I can't figure out how to set it up in my Apple Mail so I don't have to keep coming back to the Internet.</t>
  </si>
  <si>
    <t>I don't like how the emails are organized in the email chain; that trash gets auto deleted and I can't figure out how to increase that amount. [Improvement: Address/make it easier to figure out everything I just mentioned]</t>
  </si>
  <si>
    <t>I often miss emails within the chain</t>
  </si>
  <si>
    <t>mobile format - its difficult to read an email chain with several responders. I often miss emails within the chain.</t>
  </si>
  <si>
    <t>not easy to see the latest email in a thread then reference past emails then respond to the latest one</t>
  </si>
  <si>
    <t>Many features I was used to using in gmail are not available in Titan email. [Improvement: Right click on email to move or delete, etc. Email threads get confusing as they are not organized well. Search box is not all encompassing.]</t>
  </si>
  <si>
    <t>The email thread system is not easy to see the latest email in a thread then reference past emails then respond to the latest one. very similar to gmail (which I hate for the same reason). I love the look, feel and functionality of MS Outlook's email threads.</t>
  </si>
  <si>
    <t>It doesn't look very good and untidy with all the conversation threads to messages</t>
  </si>
  <si>
    <t>not friendly use. all emails are chained together...</t>
  </si>
  <si>
    <t>allowing new messages easier to find and read</t>
  </si>
  <si>
    <t>Unable to search fields in contacts. Inbox threads are very hard to follow. [Improvement: Give me searchable fields in contacts. Eliminate the repetitive messages in the inbox threads allowing new messages easier to find and read.]</t>
  </si>
  <si>
    <t>confusing the way replied emails group together. That makes replying dynamically harder. Hard to store contacts [Improvement: by adjusting the items noted]</t>
  </si>
  <si>
    <t>cant block senders, cant delete unread sent messages, too little space, hard to understand message thread</t>
  </si>
  <si>
    <t>all messages are stacked in the thread - I miss lots of emails</t>
  </si>
  <si>
    <t>all messages are stacked in the thread - I miss lots of emails because of this awful system - When will it be fixed? [Improvement: do away with the stacked emails]</t>
  </si>
  <si>
    <t>The message grouping mode is confusing and the delay in sending and receiving emails is very high.</t>
  </si>
  <si>
    <t>filter limits the ability to send emails forcing users to contact support. The conversations in this thread more are not the best way because it makes everything confusing [Improvement: allow the user to change the spam filter just for him]</t>
  </si>
  <si>
    <t>the receiver easily misses e-mails</t>
  </si>
  <si>
    <t>It's not In mobile version and treading of the mail to reply at down of the page unlikely like gmail</t>
  </si>
  <si>
    <t>the organisation of the email history is horrible [Improvement: by organising it]</t>
  </si>
  <si>
    <t>they group together and sometimes I get lost trying to locate a recent email</t>
  </si>
  <si>
    <t>checking chain mail format is not user friendly...</t>
  </si>
  <si>
    <t>Because I found it very good to have the Titan app with the emails in hand [Improvement: Maybe regarding the grouping of emails - they group together and sometimes I get lost trying to locate a recent email.]</t>
  </si>
  <si>
    <t>email grouping is confusing</t>
  </si>
  <si>
    <t>No snooze option, threads stick together in a way that makes it difficult or impossible to organize messages into folders without potentially missing replies, the inbox does not seem to auto-refresh on a regular basis. [Improvement: Add a snooze option, allow separate messages to be moved to folders and still allow the latest reply to appear in the mailbox rather than sticking together as threads.]</t>
  </si>
  <si>
    <t>replies end up hidden in the email history</t>
  </si>
  <si>
    <t>Because the webmail gets very messy and hard to view; replies end up hidden in the email history. Not to mention there is no calendar integration. [Improvement: By improving the email display according to the most recent replies and integrating calendars.]</t>
  </si>
  <si>
    <t>Does what it's supposed to, looks slick... just a good product. [Improvement: I sometimes find it difficult unraveling long email threads. Organzing them as a conversation would be very helpful.]</t>
  </si>
  <si>
    <t>The layout of having all the threads lumped (but not lumped) together seems very messy and confusing and makes it difficult to follow and comb through email chains and reply cleanly. An Outlook type of model would suit Titan and customer better. IMO.</t>
  </si>
  <si>
    <t>Its hard to find new emails</t>
  </si>
  <si>
    <t>the iphone interface is terrible. the way that email threads are arranged is terrible</t>
  </si>
  <si>
    <t>I dont like how the emails bundle into conversations and I cant seem to turn it off. Its hard to find new emails and to sort through the old ones [Improvement: Allow me to set up email conversations the way I want instead of automatic bundling of convesations.]</t>
  </si>
  <si>
    <t>All very good; what takes a few points off is the view when we are working with an email thread, to follow it up. It is a bit confusing when there is more than 1 reply, and if there are many, following it is very uncomfortable. [Improvement: Reading mail needs to improve when there are many replies and we want to reply as well.]</t>
  </si>
  <si>
    <t>Failry priced, Easy to use, Good customer service team and has all functions I need. [Improvement: When in a email thread, it would be great if I didn't have to keep scrolling through multiple replies attached to every new message. Provide better protection against spam.]</t>
  </si>
  <si>
    <t>not very user friendly, email trails are messy and hard to follow [Improvement: make email trails clearer]</t>
  </si>
  <si>
    <t>well its okay so its above average ..and ronaldo will have the no 7 shirt..ask stupid questions get stupid answers [Improvement: to be able to break up threads better to allow sending on easier]</t>
  </si>
  <si>
    <t>Titan has less flexibility than other email platforms I use. For example, I want the option to snooze messages for later. I'm also frustrated with the way threads "stick" together &amp; if I delete one message, the whole thread disappears.</t>
  </si>
  <si>
    <t>If you open one email in a thread you can easily miss another new one</t>
  </si>
  <si>
    <t>Difficult to print or even create PDFs of the emails. When you click on links in emails quite often just opens another tab of Titan email. No option for bringing forward emails. If you open one email in a thread you can easily miss another new one. Incredibly easy to archive or delete in error. [Improvement: Rectify what we have just highlighted!]</t>
  </si>
  <si>
    <t>Inability to 'copy and paste' in email addresses is a pain, and the way multiple emails are shown when associated with the same 'thread' is confusing.</t>
  </si>
  <si>
    <t>so it is easier to find things or at least the last message</t>
  </si>
  <si>
    <t>your email organization is not good. the way emails from the same chain are stacked is not good. the mobile app is not good, on a chain of emails it comes to a point where you cant zoom in. [Improvement: just making this more lke outlook. zoho. gmail]</t>
  </si>
  <si>
    <t>Hard to follow the thread compared to gmail.com. I get notices that there are email and then I do not see them. Maybe I need to change settings.</t>
  </si>
  <si>
    <t>One of the Best systems with all that I need such as templates, email tracking, alerts, nested together. Pleased with the updates and product development.</t>
  </si>
  <si>
    <t>I cant find current conversations when messages are expanded</t>
  </si>
  <si>
    <t>The email thread view is terrible. I cant find current conversations when messages are expanded. [Improvement: make it easier to read]</t>
  </si>
  <si>
    <t>You cannot delete emails without deleting the whole thread. The calendar translation is not very good. Meetings in Titan have a lot of new issues.</t>
  </si>
  <si>
    <t>Great email app, I like it. [Improvement: Sometimes it takes too long to send an email, like 5-6 seconds, and if I go back from the thread too early, the email is sometimes not sent.]</t>
  </si>
  <si>
    <t>The visualization of a mail chain is confusing.. [Improvement: Please make the visualization of chain emails more intuitive!!]</t>
  </si>
  <si>
    <t>Messages are deleted automatically with no way to turn this function off. If you delete the last message in a thread it also automatically deletes the whole thread. [Improvement: Allow auto deletion of emails from the trash box and separate email threads when deleting]</t>
  </si>
  <si>
    <t>The way the latest reply is displayed in an email thread can be confusing at times</t>
  </si>
  <si>
    <t>The way the latest reply is displayed in an email thread can be confusing at times. Separately, it is practically impossible to tell read from unread emails in the phone app because the contrast is very poor when "dark mode" is chosen in iOS. [Improvement: improve the distinction between read and unread emails in the iOS app.]</t>
  </si>
  <si>
    <t>the service is limited, there are other providers with more features. like Zohomail., I don't like the way my emails are displayed at all on a chain of emails. [Improvement: Add more features, display better the emails]</t>
  </si>
  <si>
    <t>nothing is easy. you cant right click to copy. its really hard to keep track of the threads. cant see my old sent emails. i really liked my old Mr Site email it was simple and very good</t>
  </si>
  <si>
    <t>emails get lost/overlooked</t>
  </si>
  <si>
    <t>Still haven't fixed conversation thread issue. I hate emails being clumped into threads rather than single emails, very difficult to work with and emails get lost/overlooked. [Improvement: Add option to have single emails, not threads.]</t>
  </si>
  <si>
    <t>I keep missing e-mails</t>
  </si>
  <si>
    <t>I "HATE" this conversation mode of viewing e-mail. Why can't you give an option to view each e-mail as a stand alone item. This conversation view crap is hard to follow and I keep missing e-mails. I'm looking for a new service! [Improvement: Give people an option to view each e-mail as a separate item, instead of grouping e-mails together in this "conversation mode".]</t>
  </si>
  <si>
    <t>Email threads still pile on top of each other; I lose some emails</t>
  </si>
  <si>
    <t>Practical, quick and intuitive [Improvement: Email threads still pile on top of each other; I lose some emails or they fail to reach the recipient]</t>
  </si>
  <si>
    <t>needs to be changed so you deal with the last email always</t>
  </si>
  <si>
    <t>It is extremely difficult to work with because of the threads - needs to be changed so you deal with the last email always. [Improvement: If the email thread worked like Outlook I would give it 10 stars.]</t>
  </si>
  <si>
    <t>Presentation of latest email in a long chain</t>
  </si>
  <si>
    <t>Mark individual emails unread rather than full threads</t>
  </si>
  <si>
    <t>Solid, clean and reliable email UI. Somewhat light on features that I'm used to from Gmail. [Improvement: Mark individual emails unread rather than full threads. Designate/flag emails that come to me from mailing lists.]</t>
  </si>
  <si>
    <t>you can mark just one email as unread from a thread</t>
  </si>
  <si>
    <t>On iphone the search for a particular email sometimes doesnt work properly. Also, you can mark just one email as unread from a thread.</t>
  </si>
  <si>
    <t>I would like to be able to mark a read email as new</t>
  </si>
  <si>
    <t>it mixes the conversations with other email addresses</t>
  </si>
  <si>
    <t>When messages have the same subject they join together and become a mess, because sometimes they are the same subject and it mixes the conversations with other email addresses.</t>
  </si>
  <si>
    <t>It groups emails and histories under the same subject; the recipients are sometimes different</t>
  </si>
  <si>
    <t>It groups emails and histories under the same subject; the recipients are sometimes different, which is not practical at all and gets confusing.</t>
  </si>
  <si>
    <t>If one forwards an email to someone else, it should not then be part of the old email chain</t>
  </si>
  <si>
    <t>When I respond to someone new I'd like for a new email thread to be started</t>
  </si>
  <si>
    <t>When I respond to someone new I'd like for a new email thread to be started. Now it's very complex to properly follow along.</t>
  </si>
  <si>
    <t>they are grouped under one even I change recipients in responding emails</t>
  </si>
  <si>
    <t>Emails I want to see separate, but they are grouped under one even I change recipients in responding emails. [Improvement: add more advanced functions tools available in gmail app]</t>
  </si>
  <si>
    <t>It is very difficult to manage responses to e-mails that were forwarded to a new recipient. Than all the answers get put together</t>
  </si>
  <si>
    <t>Good email with one topic to improve: It is very difficult to manage responses to e-mails that were forwarded to a new recipient. Than all the answers get put together and it is so difficult to separate and follow the threads....</t>
  </si>
  <si>
    <t>When you forward an email and change the subject, it does not create a new email thread; it stays in the same email list</t>
  </si>
  <si>
    <t>Managing different accounts and profiles. [Improvement: When you forward an email and change the subject, it does not create a new email thread; it stays in the same email list.]</t>
  </si>
  <si>
    <t>Threads don't change when I change the subject line making things confusing</t>
  </si>
  <si>
    <t>Email is very convoluted and not easy to sort through. Threads don't change when I change the subject line making things confusing [Improvement: streamlined emails or a way to import into Gmail or other email service of my choice]</t>
  </si>
  <si>
    <t>IT PUTS EMAILS INTO THE THREAD THAT DO NOT BELONG</t>
  </si>
  <si>
    <t>IT PUTS EMAILS INTO THE THREAD THAT DO NOT BELONG, CAUSING CONFUSION IN FOLLOWING THEM. STORAGE CAPACITY IS VERY LOW COMPARED TO GMAIL OR HOTMAIL</t>
  </si>
  <si>
    <t>clients get lumped together when sending invoices, or receiving replies from invoices, and you can't separate them manually</t>
  </si>
  <si>
    <t>I wish the thread weren't grouped as a chat - especially when regarding similar topics. Often times, clients get lumped together when sending invoices, or receiving replies from invoices, and you can't separate them manually. [Improvement: see note]</t>
  </si>
  <si>
    <t>especially if it's the same subject but different recipients</t>
  </si>
  <si>
    <t>Email chains are organised in a very confusing manner, especially if it's the same subject but different recipients. Very difficult to find and manage emails [Improvement: change how email chains are organised (do the same as outlook)]</t>
  </si>
  <si>
    <t>separating forwarded messages from the original thread</t>
  </si>
  <si>
    <t>A few things on the mobile app could be improved. [Improvement: separating forwarded messages from the original thread. possibility of checking who opened the email on the mobile app]</t>
  </si>
  <si>
    <t>confusing with mail chains as they are not well seggregated for individual response or forwarding</t>
  </si>
  <si>
    <t>confusing with mail chains as they are not well seggregated for individual response or forwarding. [Improvement: My last comment will give you the answer]</t>
  </si>
  <si>
    <t>You cannot change email from conversation view to single email view</t>
  </si>
  <si>
    <t>When responding in chain emails or forwarding an email to someone else, it's hard to know what they are actually seeing</t>
  </si>
  <si>
    <t>Difficult to read through chain emails. When responding in chain emails or forwarding an email to someone else, it's hard to know what they are actually seeing. Otherwise, it's a good system.</t>
  </si>
  <si>
    <t>when it joins emails together it mixes in other emails that have nothing to do with the subject</t>
  </si>
  <si>
    <t>Because when it joins emails together it mixes in other emails that have nothing to do with the subject. [Improvement: by providing technical support]</t>
  </si>
  <si>
    <t>Provide an options where emails do not need to be grouped by thread, but can be separated into their own email</t>
  </si>
  <si>
    <t>Good service, good price. [Improvement: Provide an options where emails do not need to be grouped by thread, but can be separated into their own email]</t>
  </si>
  <si>
    <t>It does not let me easily see whether someone replied to me privately, because it marks everything in the email thread</t>
  </si>
  <si>
    <t>It does not let me tag people; the way messages are shown is very confusing. It does not let me easily see whether someone replied to me privately, because it marks everything in the email thread. [Improvement: Make it more accessible and more intuitive.]</t>
  </si>
  <si>
    <t>Emails are grouped by recipient, creating an endless chain of mails even when the content is unrelated</t>
  </si>
  <si>
    <t>Searching for emails or keywords is very bare. Very weak. When composing a new email and typing its title, after one or two letters it jumps to the body of the email. Emails are grouped by recipient, creating an endless chain of mails even when the content is unrelated. I do not recommend them. [Improvement: Fix what I have just mentioned]</t>
  </si>
  <si>
    <t>I cant change from conversation mode to single email</t>
  </si>
  <si>
    <t>Free means bare minimum, emails I file show back up in the inbox, I cant change from conversation mode to single email. And to be constantly bombarded by popups telling me to upgrade. All very annoying, wish I didn't have to use this app. [Improvement: read previous message]</t>
  </si>
  <si>
    <t>if I forward one email to few different persons, like a different e-mail. than hard to follow up how many peoples and when replied</t>
  </si>
  <si>
    <t>don't like that impossible to switch off e-mails chains. for examples if I forward one email to few different persons, like a different e-mail. than hard to follow up how many peoples and when replied. [Improvement: make an option to switch off emails threads.]</t>
  </si>
  <si>
    <t>when you reply to e-mail and there is a chain of e-mails you are not even sure who you are e-mailing</t>
  </si>
  <si>
    <t>Well the e-mail is a bit clunky, when you reply to e-mail and there is a chain of e-mails you are not even sure who you are e-mailing. Not that good to be honest [Improvement: Somehow you need to ensure each e-mail is accessible separately from the chain and make sure it is clear to me who I am e-mailing - before pressing "send"]</t>
  </si>
  <si>
    <t>better if each is shown individually on screen according to date and time</t>
  </si>
  <si>
    <t>When replying to an email it is hard to know what will actually arrive at the other end</t>
  </si>
  <si>
    <t>Search field is very limited [Improvement: the grouping of email conversations is very confusing, not very intuitive. When replying to an email it is hard to know what will actually arrive at the other end.]</t>
  </si>
  <si>
    <t>the lack of an option to show individual emails instead of grouped by conversation</t>
  </si>
  <si>
    <t>Almost perfect, except for the lack of an option to show individual emails instead of grouped by conversation.</t>
  </si>
  <si>
    <t>grouping all sent emails into one - you send by BCC but they all arrive together and are stored together</t>
  </si>
  <si>
    <t>Unfortunately the settings are limited, and handling the emails is horrible, mainly grouping all sent emails into one - you send by BCC but they all arrive together and are stored together. I have other emails and the way of working with them is far better, clearer and more practical. [Improvement: By having a more detailed configuration and options.]</t>
  </si>
  <si>
    <t>dont tie email threads together</t>
  </si>
  <si>
    <t>Messages can be "hidden" when people reply on an individual basis to a group email</t>
  </si>
  <si>
    <t>I didn't give a ten because I find the message feed annoying. Messages can be "hidden" when people reply on an individual basis to a group email and it can be difficult to follow threads. [Improvement: See previous comment.]</t>
  </si>
  <si>
    <t>Dont like hot it ties email threads, prefer to keep them sperate! done not always user friendly!!! [Improvement: dont tie email threads together. make more user friendly]</t>
  </si>
  <si>
    <t>you have multiple chains of conversations going in the same section</t>
  </si>
  <si>
    <t>The email flow is extremely confusing. I can never tell if i'm responding to the correct email or not because you have multiple chains of conversations going in the same section. It should be sent&gt;response&gt;sent&gt;response etc. [Improvement: Fix everything i just discussed]</t>
  </si>
  <si>
    <t>The email sequence can be set to stand alone without having to be combined into one continuous email</t>
  </si>
  <si>
    <t>I'd prefer it, if just one email opened instead of the entire string of emails</t>
  </si>
  <si>
    <t>I feel that its very safe and enjoy the way it seamlessly connects to my cellphone, so I never miss a notification. [Improvement: I'd prefer it, if just one email opened instead of the entire string of emails, however that could be something in the settings I have messed up.]</t>
  </si>
  <si>
    <t>Don't join up email chains</t>
  </si>
  <si>
    <t>Its better than others [Improvement: Don't join up email chains]</t>
  </si>
  <si>
    <t>Stop clumping email threads together. I want all my emails as separate "letters" in my inbox</t>
  </si>
  <si>
    <t>Please create a version of not thread</t>
  </si>
  <si>
    <t>Reading through a quoted email thread that you weren't part of is practically impossible</t>
  </si>
  <si>
    <t>I am satisfied with the speed of loading and convenient to know if the emails I sent was opened or not. I would like to have a choice of interface if I like thread style to show or not. I am confused all the time when I reply to emails, because my own replied emails(or forwared) are always shown and I do not know where I am now in the conversation. I hate it. [Improvement: Please create a version of not thread.]</t>
  </si>
  <si>
    <t>So many inconveniences that add unnecessary friction to my work day. Reading through a quoted email thread that you weren't part of is practically impossible. No translate function. You can't mark emails as unread on the mobile app. That's just off the top of my head right now. There are many more reasons. [Improvement: Fix the types of problems I just mentioned.]</t>
  </si>
  <si>
    <t>the email history makes it harder to check the messages because they keep "shrinking" towards the right-hand side</t>
  </si>
  <si>
    <t>it is very annoying to have to see the whole email thread and not just the original</t>
  </si>
  <si>
    <t>Emails cannot be forwarded in full, and the email history makes it harder to check the messages because they keep "shrinking" towards the right-hand side. I think it is very bad.</t>
  </si>
  <si>
    <t>I do not like not being able to see an original email on its own; it is very annoying to have to see the whole email thread and not just the original. Also very annoying not being able to delete a draft I do not need. [Improvement: By making it less like Gmail.]</t>
  </si>
  <si>
    <t>Because it joins the messages together. I want the messages separate</t>
  </si>
  <si>
    <t>older email in same conversation shrinks when we forward the email to outside titan</t>
  </si>
  <si>
    <t>Because it joins the messages together. I want the messages separate and to be able to put them in each subfolder. [Improvement: By separating the messages and putting them into separate subfolders.]</t>
  </si>
  <si>
    <t>the web interface is laggy while typing emails compare to gmail mail editor, make it smooth while typing. email threads should be like outlook and not like gmail, I have already submitted suggestion on this point. [Improvement: 1) email threads should look like outlook and not like gmail as older email in same conversation shrinks when we forward the email to outside titan. 2) email editor is too laggy while typing.]</t>
  </si>
  <si>
    <t>get rid of threads</t>
  </si>
  <si>
    <t>only seems to do conversation threads which is next to useless fo rme [Improvement: a much easier interface. get rid of threads]</t>
  </si>
  <si>
    <t>They get smaller and smaller until it is just one character PER LINE, this makes them unreadable</t>
  </si>
  <si>
    <t>the way the emails appear in threads is extremely annoying. They get smaller and smaller until it is just one character PER LINE, this makes them unreadable. When searching the inbox, emails come up that do not contain the search term at all. In certain threads TITAN decides it thinks an email thread is spam and blocks my email. [Improvement: Fix all the issues I just mentioned]</t>
  </si>
  <si>
    <t>I hate the chain type of email tracking. Each email should stand on its own</t>
  </si>
  <si>
    <t>Too hard to move files around within different folders. I hate the chain type of email tracking. Each email should stand on its own for transferring to a relevant folder.</t>
  </si>
  <si>
    <t>The message block becomes thinner and thinner, until each word in the email becomes a new line</t>
  </si>
  <si>
    <t>Most features are good. However, the tiered layout of email threads makes older messages more and more difficult to read. The message block becomes thinner and thinner, until each word in the email becomes a new line.</t>
  </si>
  <si>
    <t>you still can't figure out how to display messages out of conversation mode in your application</t>
  </si>
  <si>
    <t>There are two reasons why the email is problematic. First, it's been years and you still can't figure out how to display messages out of conversation mode in your application. Second, your spam filters are absurd, sometimes blocking emails from people I've been doing business with for years. [Improvement: Fix the problems I pointed out.]</t>
  </si>
  <si>
    <t>Provide the very simple non-conversation view of emails</t>
  </si>
  <si>
    <t>when i go email to follow previous thread it formats copy so i cant read it</t>
  </si>
  <si>
    <t>when i go email to follow previous thread it formats copy so i cant read it and also jpegs dont show up [Improvement: see earlier comments]</t>
  </si>
  <si>
    <t>Formatting in emails can be funky when forwarding</t>
  </si>
  <si>
    <t>Formatting in emails can be funky when forwarding and navigating email chains can be frustrating.</t>
  </si>
  <si>
    <t>ungroup emails</t>
  </si>
  <si>
    <t>very confusing to use, it groups email and creates a lot of confusion. It has little storage space. One of the worst I have ever seen. [Improvement: ungroup emails, have more storage space.]</t>
  </si>
  <si>
    <t>You cannot make any sense of the email history when there are several replies, replies on replies</t>
  </si>
  <si>
    <t>You cannot make any sense of the email history when there are several replies, replies on replies. If you want more information it will be consulting and chargeable, like any intellectual consulting work :)</t>
  </si>
  <si>
    <t>Provide an option to remove stringing emails</t>
  </si>
  <si>
    <t>Email environment is not intuitive and email thread is difficult to follow. Emails do not open properly and you cannot separate the emails so you do not know which email you are responding [Improvement: Provide an option to remove stringing emails or organize conversations better on the webmail]</t>
  </si>
  <si>
    <t>navigating through email threads/viewing quoted emails</t>
  </si>
  <si>
    <t>The search function, navigating through email threads/viewing quoted emails, text formatting (especially on the app). Not all emojis are available, but I can live with that. [Improvement: Fix these things (at least the search function!)]</t>
  </si>
  <si>
    <t>can't ungroup conversations without upgrading</t>
  </si>
  <si>
    <t>can't ungroup conversations without upgrading. Many problems sending emails [Improvement: ungroup messages. Fix send issues]</t>
  </si>
  <si>
    <t>I prefer having the ability to view my email unthreaded</t>
  </si>
  <si>
    <t>I prefer having the ability to view my email unthreaded. I looked through the settings and I couldn't find a way to do that. If I missed it I apologize.</t>
  </si>
  <si>
    <t>I wish it just left them as separate e-mails in the Inbox, organized by date/time</t>
  </si>
  <si>
    <t>I dislike the way the e-mails are grouped together in the Inbox when there are multiple e-mails between me and another contact about a certain subject. The mailbox groups all the back and forth communication under one e-mail. I wish it just left them as separate e-mails in the Inbox, organized by date/time just like all the other e-mails that come in...</t>
  </si>
  <si>
    <t>Stop grouping emails by conversation</t>
  </si>
  <si>
    <t>I cannot ungroup the emails</t>
  </si>
  <si>
    <t>I cannot ungroup the emails.</t>
  </si>
  <si>
    <t>it is very important that you can open them without threads</t>
  </si>
  <si>
    <t>There is no option to ungroup email by subject</t>
  </si>
  <si>
    <t>the lack of choice as to how to display emails (constantly in an infuriating conversation view)</t>
  </si>
  <si>
    <t>The UI is terrible, and the lack of choice as to how to display emails (constantly in an infuriating conversation view) makes this a huge mess. [Improvement: Fix the UI.]</t>
  </si>
  <si>
    <t>stacked emails does not suit everyone need an option to view each mail separately</t>
  </si>
  <si>
    <t>The layout choices are not sufficient as viewing the emails options for example stacked emails does not suit everyone need an option to view each mail separately, thanks [Improvement: add more email viewing options]</t>
  </si>
  <si>
    <t>There is no option to ungroup</t>
  </si>
  <si>
    <t>Very disorganised email. There is no option to ungroup.</t>
  </si>
  <si>
    <t>Un-group email function</t>
  </si>
  <si>
    <t>emails are grouped together in an annoying way [Improvement: Un-group email function]</t>
  </si>
  <si>
    <t>the emails group by subject (I like each email to stay separate by date sent or received)... and I cannot change that</t>
  </si>
  <si>
    <t>Titan is a bit confusing. I cannot open it on my mobile phone via the web, I am forced to download an app (Titan Mail)... the emails group by subject (I like each email to stay separate by date sent or received)... and I cannot change that.</t>
  </si>
  <si>
    <t>be able to disenable the emails consolidation</t>
  </si>
  <si>
    <t>The email is generally good, but there are some problems pending to be solved [Improvement: be able to disenable the emails consolidation if you cannot solve the email line subject problem. add a "format" button. Finally fix the income email missing bug.]</t>
  </si>
  <si>
    <t>you can't seem to manage to get the Email out of conversation mode</t>
  </si>
  <si>
    <t>We had a situation a year ago in which my Email went dead for a bit due to a failure of Titan to communicate with me. But the main issue is that you can't seem to manage to get the Email out of conversation mode despite many, many requests by users. We need to see INDIVIDUAL Emails. This is a very serious issue that should have been resolved before your product was released. [Improvement: You could fix the problem.]</t>
  </si>
  <si>
    <t>turning off message grouping</t>
  </si>
  <si>
    <t>impossible to configure some features, for example: turning off message grouping; alphabetical ordering of message templates... [Improvement: by making the setting available]</t>
  </si>
  <si>
    <t>Emails are grouped and there is no option to ungroup</t>
  </si>
  <si>
    <t>Emails are grouped and there is no option to ungroup. Difficulty opening email in the mobile app... Important emails do not arrive... a lot goes to spam... And to solve it, the only solution is the upgrade - terrible technical solution! [Improvement: Give the option to ungroup emails on all plans.]</t>
  </si>
  <si>
    <t>Add option to have single emails, not threads</t>
  </si>
  <si>
    <t>I wish that there is a feature to turn off the email threads</t>
  </si>
  <si>
    <t>I wish that there is a feature to turn off the email threads.</t>
  </si>
  <si>
    <t>get rid of the automated email threads</t>
  </si>
  <si>
    <t>I cannot separate emails and all are cramped up in a thread and it drives me nuts. So sorry, will not recommend you at all to anyone until that issue is fixed. [Improvement: get rid of the automated email threads]</t>
  </si>
  <si>
    <t>Allow the option to organize single emails without them being a thread</t>
  </si>
  <si>
    <t>I don't want my emails to be organized as a thread, but that is the only way you currently organize them. [Improvement: Allow the option to organize single emails without them being a thread.]</t>
  </si>
  <si>
    <t>no way to get out of conversation mode</t>
  </si>
  <si>
    <t>web client is not very feature-packed. no "reply all". no way to get out of conversation mode.</t>
  </si>
  <si>
    <t>No individual email. Always in group</t>
  </si>
  <si>
    <t>No individual email. Always in group [Improvement: you know it]</t>
  </si>
  <si>
    <t>Impossible to turn off the grouping of messages with the same subject</t>
  </si>
  <si>
    <t>Impossible to turn off the grouping of messages with the same subject. Another thing that should also improve is the list of message TEMPLATES, which should be in alphabetical order. [Improvement: By making it possible to turn off grouping of messages by the same subject]</t>
  </si>
  <si>
    <t>GET RID OF THAT STOOPID CONVERSATION VIEW!!!</t>
  </si>
  <si>
    <t>You won't change this STINKING conversation view; and you penalize me for sending messages to my own people! I am researching for a new e-mail platform asap!!! [Improvement: GET RID OF THAT STOOPID CONVERSATION VIEW!!!]</t>
  </si>
  <si>
    <t>allow the option to group/ungroup emails</t>
  </si>
  <si>
    <t>I do not much like the design, it is unfriendly to work with; and it is very uncomfortable that it groups the mails [Improvement: change the design and allow the option to group/ungroup emails]</t>
  </si>
  <si>
    <t>stop stacking by subject</t>
  </si>
  <si>
    <t>some things could be better (e.g. don't stack emails by subject -- it's SO annoying!!!!) It would be great if you had predictive spelling. The price is good. [Improvement: -stop stacking by subject -allow user to choose default font/size]</t>
  </si>
  <si>
    <t>struggling to find a file attached to an email in the thread</t>
  </si>
  <si>
    <t>Email threads are a pain to view and manage - I often end up replying to the wrong email in the thread or struggling to find a file attached to an email in the thread [Improvement: fix the thread problem]</t>
  </si>
  <si>
    <t>Valuehost</t>
  </si>
  <si>
    <t>Having an option not to group messages</t>
  </si>
  <si>
    <t>I cannot separate the messages, everything is mixed up. And I cannot search, it finds nothing. [Improvement: Having an option not to group messages and improving search.]</t>
  </si>
  <si>
    <t>Attachments hard to find in long email string</t>
  </si>
  <si>
    <t>worse than Gmail. Spam keeps returning. Attachments hard to find in long email string. [Improvement: what I wrote above]</t>
  </si>
  <si>
    <t>you have to scroll to the bottom of the entire thread in order to see the attachments for a recent response</t>
  </si>
  <si>
    <t>The email threads are difficult to follow on mobile, often you have to scroll to the bottom of the entire thread in order to see the attachments for a recent response to the email.</t>
  </si>
  <si>
    <t>Ensure that emails are not automatically grouped into threads</t>
  </si>
  <si>
    <t>It is the worst email system that I have ever used. [Improvement: Ensure that emails are not automatically grouped into threads]</t>
  </si>
  <si>
    <t>THE ATTACHMENTS FROM OTJHER EMAILS ARE IMPOSSIBLE TO FIND</t>
  </si>
  <si>
    <t>THE ATTACHMENTS FROM OTJHER EMAILS ARE IMPOSSIBLE TO FIND - PUT THEM ON THE BOTTOM OF THE PETR6TITENT EMAIL MNPOT AT THE TOP OR THE BOTTOM OF OVER 40 EMAILS IN THE THREAD- UNBELIEVABLE WASTE OF TIME [Improvement: SEE WHAT I SAID PREVIOUSLY]</t>
  </si>
  <si>
    <t>i HAVE TO KEEP GOING BACK TO FIND ATTACHMENTS</t>
  </si>
  <si>
    <t>THE EMAIL CHAINS ARE VER CONFUSING. i HAVE TO KEEP GOING BACK TO FIND ATTACHMENTS. [Improvement: SIMPLIFY THE EMAIL STRUCTURES]</t>
  </si>
  <si>
    <t>I cannot disable the message grouping feature</t>
  </si>
  <si>
    <t>if any attachment was linked to any message in the thread, I'd like an easier way to get to it rather than having the find the specific message</t>
  </si>
  <si>
    <t>The ability to separate individual emails from a conversation</t>
  </si>
  <si>
    <t>It's hard to use and I can't separate out individual emails from conversations. I've complained about this before, but it doesn't seem to make any difference. [Improvement: The ability to separate individual emails from a conversation.]</t>
  </si>
  <si>
    <t>It is confusing to navigate through the whole email thread and see them at the end of the email history</t>
  </si>
  <si>
    <t>It is functional, intuitive, easy to use. [Improvement: The attachments for each email should be visible at the start of the message. It is confusing to navigate through the whole email thread and see them at the end of the email history; it would be simpler to see them in the header after the subject. It is a suggestion - or have the option to see the thread/email history or only the last email that arrived.]</t>
  </si>
  <si>
    <t>make attachments show up below the subject line instead of on the bottom of a 20 email thread</t>
  </si>
  <si>
    <t>Great software, great services. I just wish you would make attachments show up below the subject line instead of on the bottom of a 20 email thread.. [Improvement: Please show attachments at the top of the email rather than the bottom of email threads where there could be 20-30 emails and you would have to scroll down all 30 to reach the attachment]</t>
  </si>
  <si>
    <t>please allow users to change the default to ungroup email threads. I want individual emails</t>
  </si>
  <si>
    <t>Attachments are hard to find in a long email thread</t>
  </si>
  <si>
    <t>The search bar does not search all through the emails like gmail. Downloads don't always work properly. Attachments are hard to find in a long email thread.</t>
  </si>
  <si>
    <t>I really have a hard time finding attachments in the email.... especially if its a continuous trail</t>
  </si>
  <si>
    <t>I really have a hard time finding attachments in the email.... especially if its a continuous trail [Improvement: improve how attachment appear in long email trails .. show attachment with its email body]</t>
  </si>
  <si>
    <t>we cannot open a single email out of the group of email under one subject</t>
  </si>
  <si>
    <t>One of the most annoying this with titan is, we cannot open a single email out of the group of email under one subject. All the conversation email opens as a chain of emails, from which just one email cannot be opened out.</t>
  </si>
  <si>
    <t>attachments are very difficult to find in a long email thread</t>
  </si>
  <si>
    <t>don't like the format at all, attachments are very difficult to find in a long email thread [Improvement: make attachment easy to find in email thread]</t>
  </si>
  <si>
    <t>sometimes it is difficult to find related attachments in long chain of emails</t>
  </si>
  <si>
    <t>Very good UX, but sometimes it is difficult to find related attachments in long chain of emails. [Improvement: Change the way chain of emails work. Inserted attachments have to be shown not at the bottom of related chain, but in particular email it was inserted in.]</t>
  </si>
  <si>
    <t>allow non conversation mode on mobiles etc</t>
  </si>
  <si>
    <t>its a really poor email platform [Improvement: allow non conversation mode on mobiles etc; allow it to be used through outlook more easily]</t>
  </si>
  <si>
    <t>The threads get very confusing and you can't find attachments in threads</t>
  </si>
  <si>
    <t>1. The threads get very confusing and you can't find attachments in threads. 2. You can't add a contact from an email. 3. The search is also very ineffective. 4. The interface is extremely bland. 5. Every email has logos and pictures as attachments so it's hard to see the attachment you're looking for. 6. You can't save attachments from an email.</t>
  </si>
  <si>
    <t>The attachments are not easy to find either when threads get too long</t>
  </si>
  <si>
    <t>you have to go through the email chain to find where exactly it was attached</t>
  </si>
  <si>
    <t>No individual email</t>
  </si>
  <si>
    <t>No individual email. make headace [Improvement: thats clear]</t>
  </si>
  <si>
    <t>everything comes together all mails then we find attached documents very hard to operate</t>
  </si>
  <si>
    <t>thread of email is bad. everything comes together all mails then we find attached documents very hard to operate</t>
  </si>
  <si>
    <t>maybe the attachments at the bottom of the email to be found easier</t>
  </si>
  <si>
    <t>It's quite a difficult format to use once the email is opened. I would prefer that emails with attachments showed the symbols on the side instead of showing them across each email in the thread. And, maybe the attachments at the bottom of the email to be found easier. To be honest I am not sure what format for the thread would be easiest. Just a bit hard to navigate. [Improvement: To add the attachments to the bottom of the email.]</t>
  </si>
  <si>
    <t>difficult in a thread to find the exact email and attachment</t>
  </si>
  <si>
    <t>Make conversation mode an option</t>
  </si>
  <si>
    <t>I'm not a fan of the 'conversation' mode for viewing my email. NO option to turn it off??? [Improvement: Make conversation mode an option.]</t>
  </si>
  <si>
    <t>losing attachements within the email thread</t>
  </si>
  <si>
    <t>Everything is great except losing attachements within the email thread, I can never find anything in the search, and just overall oranization. But MOST important is not being able to forward anything to titan.</t>
  </si>
  <si>
    <t>it's hard to track mail chains and find old attachments</t>
  </si>
  <si>
    <t>Provide a view other than email strings being tied together</t>
  </si>
  <si>
    <t>it's hard to track mail chains and find old attachments [Improvement: read the previous comment]</t>
  </si>
  <si>
    <t>Because you cannot separate the email strings. I do not like the email sting view and want to change it. However, even though this is your highest voted issue, you are not addressing it. [Improvement: Provide a view other than email strings being tied together.]</t>
  </si>
  <si>
    <t>Attachments in emails appear at bottom instead of easily at the top where the email is initially being read</t>
  </si>
  <si>
    <t>Awful layout. Can't clear space easily to free up storage. Conversation threads are terrible and difficult to navigate. Attachments in emails appear at bottom instead of easily at the top where the email is initially being read. And it's slow. [Improvement: Given up hope]</t>
  </si>
  <si>
    <t>very hard to find any old attachments on threads of emails</t>
  </si>
  <si>
    <t>Allow ungrouped emails</t>
  </si>
  <si>
    <t>I find locating emails is difficult when I search and I don't like grouped conversations but there doesn't seem to be a way to turn it off. [Improvement: Allow ungrouped emails.]</t>
  </si>
  <si>
    <t>I have to go two miles to get an attachment</t>
  </si>
  <si>
    <t>email sorting is a mess, I have to go two miles to get an attachment. inbox and outbox is the same. One thread and a mess. can't even find an email. can't add a new email without paying. Really frustrated with web version for sure. [Improvement: Fix the issues.]</t>
  </si>
  <si>
    <t>Allow option for standard view instead of mandatory conversation thread</t>
  </si>
  <si>
    <t>it often makes it complicated to find the files that were attached</t>
  </si>
  <si>
    <t>email chain searching and attachment finding difficult</t>
  </si>
  <si>
    <t>email chain searching and attachment finding difficult [Improvement: make is more simple and easy]</t>
  </si>
  <si>
    <t>display emails individually rather than in threads</t>
  </si>
  <si>
    <t>While there are numerous missing features and some technical compatibility problems, the Titan team is very responsive and helpful. [Improvement: Well, being able to block addresses, display emails individually rather than in threads, and being able to send from aliases in Thunderbird would be great improvements to start.]</t>
  </si>
  <si>
    <t>I dont like how emails are grouped together, I have a hard time locating attachments</t>
  </si>
  <si>
    <t>I dont like how emails are grouped together, I have a hard time locating attachments. Other than that I like Hostdinger and Titan</t>
  </si>
  <si>
    <t>the emails are grouped but the attachments of each message are not</t>
  </si>
  <si>
    <t>Because the email presentation structure is similar to Gmail's, grouping messages, but not entirely the same. For example, the emails are grouped but the attachments of each message are not.</t>
  </si>
  <si>
    <t>Give people an option to view each e-mail as a separate item, instead of grouping e-mails together in this "conversation mode"</t>
  </si>
  <si>
    <t>especially when there is an attachment. It makes it cumbersome and difficult to navigate</t>
  </si>
  <si>
    <t>I do not like the fact that all the emails for a single thread are attached together. especially when there is an attachment. It makes it cumbersome and difficult to navigate</t>
  </si>
  <si>
    <t>the search for attachments/ attachment content could be improved</t>
  </si>
  <si>
    <t>It's good but not outstanding [Improvement: Long conversation threads can be tedious and the search for attachments/ attachment content could be improved]</t>
  </si>
  <si>
    <t>allow people to stop the threaded conversation option if they choose!</t>
  </si>
  <si>
    <t>I hate the threaded conversation feature and no way to turn off. It's completely confusing once a message gets long and quite often I can't even find the point where I'm replying. [Improvement: allow people to stop the threaded conversation option if they choose!]</t>
  </si>
  <si>
    <t>It is beyond frustrating that you cannot disable conversation view</t>
  </si>
  <si>
    <t>It is beyond frustrating that you cannot disable conversation view. It gets really confusing tracking emails compared to the more traditional way of having separate emails come through. Please rectify this as soon as possible.</t>
  </si>
  <si>
    <t>This platform gives no option to separate the emails</t>
  </si>
  <si>
    <t>attached files do not come through in the email when they are replied to</t>
  </si>
  <si>
    <t>There is no way to turn off email threads</t>
  </si>
  <si>
    <t>There is no dedicated webmail interface on mobile. When you do access it, the interface is not user friendly. There is no way to turn off email threads. Not everyone likes their emails in threads. Customer service is great. [Improvement: Give the option to turn off email threads.]</t>
  </si>
  <si>
    <t>Most people need to view Emails WITHOUT conversation mode, able to see individual Emails</t>
  </si>
  <si>
    <t>Most people need to view Emails WITHOUT conversation mode, able to see individual Emails. This is essentially a requirement for using an Email tool reliably. Many individuals have asked you for this, but it has not been forthcoming. [Improvement: Expedite Email viewing without the conversation mode.]</t>
  </si>
  <si>
    <t>Make an option to turn off conversation mode in the INBOX</t>
  </si>
  <si>
    <t>Inbox is not user friendly...I don't like the conversation mode of grouping emails. Very confusing. [Improvement: Make an option to turn off conversation mode in the INBOX]</t>
  </si>
  <si>
    <t>The messages stay grouped and I cannot ungroup them</t>
  </si>
  <si>
    <t>The messages stay grouped and I cannot ungroup them. [Improvement: I need a way to see message by message and not everything as if it were the same chat.]</t>
  </si>
  <si>
    <t>no way to segregate inbox emails to be separate and not an email thread</t>
  </si>
  <si>
    <t>No way to expand the window when writing email. no way to segregate inbox emails to be separate and not an email thread [Improvement: have an option to have emails separately not as an email thread for easier navigation]</t>
  </si>
  <si>
    <t>i would like to not group my emails based on conversation</t>
  </si>
  <si>
    <t>love it! only thing i would say is i would like to not group my emails based on conversation. [Improvement: have the option toggle grouping email]</t>
  </si>
  <si>
    <t>Allow option to not have conversation threads!!</t>
  </si>
  <si>
    <t>There is no individual email. All are thread</t>
  </si>
  <si>
    <t>There is no individual email. All are thread [Improvement: Make it individual email]</t>
  </si>
  <si>
    <t>It would be good if it showed the individual email when I click on it</t>
  </si>
  <si>
    <t>When I go back to look at a reply from a long conversation, I click on the one I want to read and it displays the entire thread. It is frustrating and confusing. It would be good if it showed the individual email when I click on it, with the option to 'Read more' revealing the email chain that's on it.</t>
  </si>
  <si>
    <t>allow individual emails rather than conversations to display</t>
  </si>
  <si>
    <t>Its great but the email conversations are very impractical [Improvement: allow individual emails rather than conversations to display]</t>
  </si>
  <si>
    <t>Fix it so I can choose to see individual emails instead of the stacked ones</t>
  </si>
  <si>
    <t>Your system doesn't allow me to sort emails. The interface of stacked emails is incredibly hard to read. [Improvement: Fix it so I can choose to see individual emails instead of the stacked ones.]</t>
  </si>
  <si>
    <t>Allow the option to keep emails in a thread or separate</t>
  </si>
  <si>
    <t>I like to keep all of my emails separate, not chunked together in one continuous email thread. I miss having the option/feature. [Improvement: Allow the option to keep emails in a thread or separate.]</t>
  </si>
  <si>
    <t>I wish this default feature could be disabled</t>
  </si>
  <si>
    <t>the conversation mode should be an option that can be turned off</t>
  </si>
  <si>
    <t>I want to see each email individually</t>
  </si>
  <si>
    <t>I'd like to turn off conversations thread style of viewing emails</t>
  </si>
  <si>
    <t>- Can't block emails - Forever turning off read notifications - I'd like to turn off conversations thread style of viewing emails - Sometimes the folders in my inbox don't show [Improvement: Fix all 4 of these things]</t>
  </si>
  <si>
    <t>By giving the option to ungroup email conversations</t>
  </si>
  <si>
    <t>It is a good email manager, but the display is confusing and bad. Maybe some people like it, but I would like to be able to adapt the display to my way of organising - for example, without grouping the emails into conversations. [Improvement: By giving the option to ungroup email conversations]</t>
  </si>
  <si>
    <t>Separate the messages (currently grouped by subject</t>
  </si>
  <si>
    <t>Lack of basic functionalities: automatically filter email to designed folder. Separate the messages (currently grouped by subject). Search not always work to find a message [Improvement: see previous message]</t>
  </si>
  <si>
    <t>I prefer to not group email threads</t>
  </si>
  <si>
    <t>I prefer to not group email threads. It's a personal preference but I do not have the option to ungroup the threads.</t>
  </si>
  <si>
    <t>I dont like conversation view. I want to change that and cant</t>
  </si>
  <si>
    <t>I dont like conversation view. I want to change that and cant. other email clients provide that option [Improvement: Let me get rid of conservation view]</t>
  </si>
  <si>
    <t>grouped per subject without an option for me to untangle them on basis of date of receipt</t>
  </si>
  <si>
    <t>I dont like the current arrangement of emails being grouped per subject without an option for me to untangle them on basis of date of receipt. [Improvement: Provide an option for users to view and organise emails on the basis of date received.]</t>
  </si>
  <si>
    <t>Don't thread the emails. Simple.</t>
  </si>
  <si>
    <t>When I receive emails, I cannot find them. When I search for emails and cannot find them. The email thread on Titan makes the whole system completely non-functional and un-user-friendly. I don't understand why you don't have the emails come into the inbox in the order they are received. [Improvement: Don't thread the emails. Simple.]</t>
  </si>
  <si>
    <t>No one asked for you to automatically use conversation thread view, and I can't get rid of it</t>
  </si>
  <si>
    <t>too difficult to do things like see a previous email thread. No one asked for you to automatically use conversation thread view, and I can't get rid of it.</t>
  </si>
  <si>
    <t>Give an option to remove the conversation view format in the Inbox</t>
  </si>
  <si>
    <t>OK service, fairly priced. [Improvement: Give an option to remove the conversation view format in the Inbox...]</t>
  </si>
  <si>
    <t>I do not like the grouped message display mode, and I could not find a setting to change that display</t>
  </si>
  <si>
    <t>I do not like the grouped message display mode, and I could not find a setting to change that display. With other providers I can choose how to view messages. [Improvement: By releasing a setting where the user can choose how to view their messages.]</t>
  </si>
  <si>
    <t>Make it possible to separate out the individual messages in a thread</t>
  </si>
  <si>
    <t>I am forced to keep every email in a thread instead of being able to separate them out. This is confusing and frustrating for me. It's hard to respond to a thread when the reply includes all the other messages in the thread. [Improvement: Make it possible to separate out the individual messages in a thread.]</t>
  </si>
  <si>
    <t>I can't turn off 'conversation view'</t>
  </si>
  <si>
    <t>I don't like the fact that I can't turn off 'conversation view'. It makes it really confusing sometimes. [Improvement: allow me to disable conversation view]</t>
  </si>
  <si>
    <t>have the ability not to group together all the mails in a discussion</t>
  </si>
  <si>
    <t>a few options are missing [Improvement: 1/ have the ability not to group together all the mails in a discussion 2/ improve the contacts list]</t>
  </si>
  <si>
    <t>Each email should be listed separately, not lumped together</t>
  </si>
  <si>
    <t>Email conversation threads are extremely bad for business, this feature needs to be updated ASAP. Each email should be listed separately, not lumped together in a hot tangled mess of confusing threads. Cut and paste feature is glitchy. [Improvement: Fix the threads to show separate emails.]</t>
  </si>
  <si>
    <t>Cannot turn off thread conversations</t>
  </si>
  <si>
    <t>- Cannot block email addresses - Cannot turn off thread conversations - Cannot permanently turn off 'read receipts' [Improvement: Make those three things features]</t>
  </si>
  <si>
    <t>I like them coming in individually</t>
  </si>
  <si>
    <t>Some features are good. But some features are bad. You should be able to put contacts in folders. I don't particularly appreciate stacking up email in one thread like we are on some social media. I like them coming in individually, and I have to dig through them, and it gets a bit confusing. [Improvement: I put that in the previous response.]</t>
  </si>
  <si>
    <t>I want the choice to have individual emails, not 100 in a chain</t>
  </si>
  <si>
    <t>You still haven't fixed email chains, very frustrating. I want the choice to have individual emails, not 100 in a chain and not able to delete any in the chain which are not needed. [Improvement: Allow individual emails, not chains.]</t>
  </si>
  <si>
    <t>I dont like how the emails bundle into conversations and I cant seem to turn it off</t>
  </si>
  <si>
    <t>Add the option not to lump the emails together</t>
  </si>
  <si>
    <t>I would like other features, such as separating emails so I can see them outside the same conversation. [Improvement: Add the option not to lump the emails together.]</t>
  </si>
  <si>
    <t>Allow me to remove threaded email conversations</t>
  </si>
  <si>
    <t>Not able to remove threaded email conversations [Improvement: Allow me to remove threaded email conversations]</t>
  </si>
  <si>
    <t>The Email application won't let me list messages individually. It is stuck in conversation mode</t>
  </si>
  <si>
    <t>1. The Email application won't let me list messages individually. It is stuck in conversation mode. 2. WordPress shut down my Email for four days without notice due to a clerical error. [Improvement: If it's possible to get the Email application out of conversation mode so that messages are viewed in the order they are received, that would go a long, long way.]</t>
  </si>
  <si>
    <t>there should be an option to separate the emails</t>
  </si>
  <si>
    <t>there is a lot to improve. For example, there should be an option to separate the emails. I do not like grouped emails from the same sender, it works against me.</t>
  </si>
  <si>
    <t>because you cannot turn it off</t>
  </si>
  <si>
    <t>The "conversation style" of the email string is terrible, and because you cannot turn it off, I would not ever recommend this email service. [Improvement: invest in resources to build the functionality to turn off the conversation string format.]</t>
  </si>
  <si>
    <t>Conversation mode with no option to switch to a single email thread</t>
  </si>
  <si>
    <t>Basic common functions not available and/or have glitches. Cut / paste is a continuous issue. Conversation mode with no option to switch to a single email thread has been requested many times by users and has been ignored by Titan team. I will be migrating to a new email host shortly after the New Year. [Improvement: See previous answer]</t>
  </si>
  <si>
    <t>By ungrouping emails with the same topic / subject</t>
  </si>
  <si>
    <t>Very practical, easy to use. [Improvement: By ungrouping emails with the same topic / subject.]</t>
  </si>
  <si>
    <t>An option to view by time / individual emails would be better</t>
  </si>
  <si>
    <t>Grouping all emails by thread is often hard to manage. An option to view by time / individual emails would be better.</t>
  </si>
  <si>
    <t>I cannot ungroup emails by sender</t>
  </si>
  <si>
    <t>I cannot ungroup emails by sender and it makes me get confused when replying. I would prefer to sort simply by date but the option is not there.</t>
  </si>
  <si>
    <t>Get rid of the email threads</t>
  </si>
  <si>
    <t>Get rid of the email threads. or I will change to another service</t>
  </si>
  <si>
    <t>The ability to un-thread emails needs to be created</t>
  </si>
  <si>
    <t>The ability to un-thread emails needs to be created. [Improvement: Unthread emails]</t>
  </si>
  <si>
    <t>Sometimes the text of email threads vanish under ... ellipses</t>
  </si>
  <si>
    <t>A lot of third party AI tools interact with gmail but not Titan. Links to my other emails seem to automatically disappear after a while. Contact management is not intuitive or easy. Sometimes the text of email threads vanish under ... ellipses. [Improvement: Transparent integration with third party AI and spam filter tools like gmail.]</t>
  </si>
  <si>
    <t>the newest email in a thread does not load and i cant see it until i press the reply button</t>
  </si>
  <si>
    <t>Cant block email addresses so constantly getting spammed by the same people sending follow up emails. Extremely often the newest email in a thread does not load and i cant see it until i press the reply button. Sometimes when i press tbe reply button it wont show me the top of the email where im typing my reply so i cant see what im typing. And even this little feedback box doesnt have autocorrect so im wasting time erasing and retyping to do this free labour of telling you to fix the most basic of issues which shouldnt even be issues.</t>
  </si>
  <si>
    <t>Great app just needs the threading deleted</t>
  </si>
  <si>
    <t>Great app just needs the threading deleted. I hate the threading and have migrated over to outlook because i cant organise my emails properly</t>
  </si>
  <si>
    <t>The root email is repeated in the chain over and over again</t>
  </si>
  <si>
    <t>The conversation view is awful. The root email is repeated in the chain over and over again. Plus if I am drating a reply in a chain and I click away it gets lost. Way too much scrolling involved. [Improvement: sort out conversation view.]</t>
  </si>
  <si>
    <t>Have option for single emails, NOT CONVERSATION THREAD!</t>
  </si>
  <si>
    <t>Difficult to view trailing email showing multiple same email in trailing email</t>
  </si>
  <si>
    <t>Face lot of difficulty making email. Not a user friendly environment. Difficult to view trailing email showing multiple same email in trailing email. Many other functionality which are in outlook are not meeting the criteria [Improvement: Make user friendly environment]</t>
  </si>
  <si>
    <t>some emails are just repeatedly shown in a thread</t>
  </si>
  <si>
    <t>Ungroup the emails</t>
  </si>
  <si>
    <t>The emails end up grouped. [Improvement: Ungroup the emails.]</t>
  </si>
  <si>
    <t>Give an option to forward email threads as an attachment</t>
  </si>
  <si>
    <t>WITH OUT REPEATING THE FIRST MESSAGE OVER AND OER AGAIN</t>
  </si>
  <si>
    <t>The options and tools available with the free trial are very limited. [Improvement: 1. Give an option to recover emails 2. Give an option to forward email threads as an attachment 3. Make it easier to find emails so they do not become a mess 4. Give more storage 5. Stop trying to charge for everything]</t>
  </si>
  <si>
    <t>Stacked emails are messy and full of duplicate messages</t>
  </si>
  <si>
    <t>It is not possible to attach email threads to new emails</t>
  </si>
  <si>
    <t>Stacked emails are messy and full of duplicate messages. Reply and forward functions are awkward.</t>
  </si>
  <si>
    <t>Conversation view - can't get rid of it</t>
  </si>
  <si>
    <t>It is not possible to attach email threads to new emails; email threads are confusing when forwarding.</t>
  </si>
  <si>
    <t>Conversation view - can't get rid of it. Sends important incoming emails into our SPAM. Our emails from Titan end up in other people's SPAM.</t>
  </si>
  <si>
    <t>sometimes same email two/three times</t>
  </si>
  <si>
    <t>Please have an option to ungroup the messages</t>
  </si>
  <si>
    <t>messages are often repeated</t>
  </si>
  <si>
    <t>Eliminate the repetitive messages in the inbox threads</t>
  </si>
  <si>
    <t>Remove conversation view of emails. Or at least give users the option</t>
  </si>
  <si>
    <t>It is confusing how it shows several repetitions of the same email within one mail</t>
  </si>
  <si>
    <t>It is confusing how it shows several repetitions of the same email within one mail. It should only show, in chronological order, the start and end of each email thread. [Improvement: Absolutely!!]</t>
  </si>
  <si>
    <t>Difficult to use. Can't stand the conversation view of emails but there seems to be no setting to switch this off. It makes it incredibly difficult to track replies coming from multiple sources when several people are involved. There are lots of votes for this feature on the suggestions board. [Improvement: Remove conversation view of emails. Or at least give users the option.]</t>
  </si>
  <si>
    <t>jpegs dont show up</t>
  </si>
  <si>
    <t>I just want the singular conversation and not the thread. And I don't see how to change that</t>
  </si>
  <si>
    <t>I do not like the format. I do not want to include all of the conversations; I just want the singular conversation and not the thread. And I don't see how to change that.</t>
  </si>
  <si>
    <t>it joins everything and the same one appears several times</t>
  </si>
  <si>
    <t>Very confusing when you have several emails on the same subject - it joins everything and the same one appears several times. Terrible; I cannot use it on my phone, totally useless and confusing. Whenever I am out I have to wait until I get to the office to read my emails. Terrible, terrible, terrible, terrible!! If this survey actually serves any purpose, please improve it!!!</t>
  </si>
  <si>
    <t>there is no option to read emails chronologically (as opposed to conversation view)</t>
  </si>
  <si>
    <t>Despite hundreds of requests going back 2 years(!) there is no option to read emails chronologically (as opposed to conversation view) [Improvement: Be able to read emails chronologically (vs conversation view)]</t>
  </si>
  <si>
    <t>sometimes appear twice</t>
  </si>
  <si>
    <t>Very difficult to work when conversation mode is on and you don't have the opportunity just now to turn it off</t>
  </si>
  <si>
    <t>I'm not sure why some messages display above but when I scroll down they seem to be there too?</t>
  </si>
  <si>
    <t>Very difficult to work when conversation mode is on and you don't have the opportunity just now to turn it off :-( [Improvement: See previous comment.]</t>
  </si>
  <si>
    <t>the email thread is not displayed in full</t>
  </si>
  <si>
    <t>You need to keep improving, above all the app; the email thread is not displayed in full.</t>
  </si>
  <si>
    <t>whole message thread displays instead of ...</t>
  </si>
  <si>
    <t>make it shown individual email, not in group</t>
  </si>
  <si>
    <t>interface is terrible. [Improvement: time stamp visible from inbox. whole message thread displays instead of ... stronger search]</t>
  </si>
  <si>
    <t>email cannot show individually. Always in group. Thats bad [Improvement: make it shown individual email, not in group]</t>
  </si>
  <si>
    <t>it automatically hides older correspondences in the email chain</t>
  </si>
  <si>
    <t>I would like the emails not to be grouped</t>
  </si>
  <si>
    <t>Does not allow viewing full email chain</t>
  </si>
  <si>
    <t>Very Good email program and great tech support and GREAT that they take suggestions from users and implement. Downsides.... Useless spam filter. Does not allow viewing full email chain. Can't save SENT files in folders (A few other issues) [Improvement: In progress]</t>
  </si>
  <si>
    <t>DISABLE EMAIL THREAD!!!</t>
  </si>
  <si>
    <t>I don't want email thread display, but no other option; very confusing!!! [Improvement: DISABLE EMAIL THREAD!!!]</t>
  </si>
  <si>
    <t>duplicates of previous emails stretch upward and downward from the center</t>
  </si>
  <si>
    <t>wish I could get out of the conversation mode of email</t>
  </si>
  <si>
    <t>Overall I like the program, but wish I could get out of the conversation mode of email. I don't like having them grouped together. [Improvement: Get rid of conversation mode as a locked option]</t>
  </si>
  <si>
    <t>when we forward an email the history is completely lost</t>
  </si>
  <si>
    <t>I would like to separate the emails individually, not by conversation</t>
  </si>
  <si>
    <t>it is very good, but some features could be simplified - for example, I would like to separate the emails individually, not by conversation. Sometimes I would like to forward or resend a single email, not the whole conversation, and I did not find that in the settings :(</t>
  </si>
  <si>
    <t>In a long email conversation it is almost impossible to view the earlier emails</t>
  </si>
  <si>
    <t>In a long email conversation it is almost impossible to view the earlier emails. [Improvement: Just fix the display of earlier emails in a long conversation - that is, when replies are happening on the same email thread the earlier emails cannot be viewed.]</t>
  </si>
  <si>
    <t>remove email chains</t>
  </si>
  <si>
    <t>i hate the chains of emails as i lose many emails [Improvement: remove email chains]</t>
  </si>
  <si>
    <t>In email threads sometimes the first ones are not shown</t>
  </si>
  <si>
    <t>make an option to switch off emails threads</t>
  </si>
  <si>
    <t>I sent a message and it didn't show up in the message thread</t>
  </si>
  <si>
    <t>The interface is simple and organized, I like that I can see when people view my emails. The only problem I have had is that it does glitch sometimes [Improvement: Make sure that there are less glitches - I have had times where I sent a message and it didn't show up in the message thread.]</t>
  </si>
  <si>
    <t>Fix option to have each email separate - NOT IN A THREAD!!!</t>
  </si>
  <si>
    <t>automatically display the prior emails in the conversation instead of hiding them</t>
  </si>
  <si>
    <t>It doesn't even shows the complete email chains like half of the threads get removed automatically</t>
  </si>
  <si>
    <t>The emails take too much time to load. It doesn't even shows the complete email chains like half of the threads get removed automatically and doesn't reflect its records. Too much lag. [Improvement: Please set it accordingly so it shows the complete email threads.]</t>
  </si>
  <si>
    <t>will preview or show a pop-up and not have the message in the thread</t>
  </si>
  <si>
    <t>Emails don't load quickly enough, long delay sometimes, and will preview or show a pop-up and not have the message in the thread, but okay service. [Improvement: As mentioned on previous]</t>
  </si>
  <si>
    <t>we don't like having the emails in one continuous "sequence" or "stream". It would be great if they were separate</t>
  </si>
  <si>
    <t>The set up of the threads is repetitive</t>
  </si>
  <si>
    <t>you meet our needs- -it's just that the set up is a bit of a pain... we don't like having the emails in one continuous "sequence" or "stream". It would be great if they were separate but still bound together. We've had a couple occasions wherein we sent out a whole conversation when we meant to foreward only the original. [Improvement: Make it easier to separate e-mails with the same subject line.]</t>
  </si>
  <si>
    <t>the filing of email chains is really confusing and repetitive</t>
  </si>
  <si>
    <t>the filing of email chains is really confusing and repetitive.</t>
  </si>
  <si>
    <t>I do not like threads, there should be the option to turn off</t>
  </si>
  <si>
    <t>Would be a 10 as I do not like threads, there should be the option to turn off. [Improvement: See previous]</t>
  </si>
  <si>
    <t>take the emails out of conversation mode</t>
  </si>
  <si>
    <t>I can't see individual emails in a conversation separately</t>
  </si>
  <si>
    <t>The interface isn't user friendly. I can't see individual emails in a conversation separately. I keep turning off the 'view activity' but it keeps coming back on again. [Improvement: Sort out the issues mentioned]</t>
  </si>
  <si>
    <t>You cannot separate the mails to view them individually</t>
  </si>
  <si>
    <t>You cannot separate the mails to view them individually. Few configuration options. Pros: the templates and the signatures</t>
  </si>
  <si>
    <t>the emails being grouped with no opportunity to turn off this layout</t>
  </si>
  <si>
    <t>Sort out the option to have threads on or off</t>
  </si>
  <si>
    <t>I really struggle with the email threads - so much that I hate using it - sorry! [Improvement: Sort out the option to have threads on or off.]</t>
  </si>
  <si>
    <t>Allow to separate the emails and see each of them individually in the folder list</t>
  </si>
  <si>
    <t>There are a lot of "out of the mill" features that are still not present. Customer care/service is 10/10 though [Improvement: 1. Allow to separate the emails and see each of them individually in the folder list (rather than all compressed into one thread]</t>
  </si>
  <si>
    <t>Cannot turn off conversation view, really irritating</t>
  </si>
  <si>
    <t>Cannot turn off conversation view, really irritating. Also notifications for read receipts as default is a nuisance [Improvement: Turn off conversation mode. Turn off notifications for 'read' once and sticks as a setting]</t>
  </si>
  <si>
    <t>REMOVE CONVERSATION THREAD</t>
  </si>
  <si>
    <t>why its impossible to disable mail threads?</t>
  </si>
  <si>
    <t>Allow me to switch off the conversation view</t>
  </si>
  <si>
    <t>Not quite as good as gmail but still good to use. [Improvement: Allow me to switch off the conversation view so I can manage my emails better.]</t>
  </si>
  <si>
    <t>Add a feature so messages threads can be "unrolled" into separate messages</t>
  </si>
  <si>
    <t>Very helpful customer service. [Improvement: Add a feature so messages threads can be "unrolled" into separate messages.]</t>
  </si>
  <si>
    <t>Allow switching off of conversation view in the inbox and folders</t>
  </si>
  <si>
    <t>The conversation view is extremely frustrating and makes it very difficult when there are lots of emails on a particular subject. This function should be optional. Its getting to the point where the business is considering switching to another provider as it is unusable. [Improvement: Allow switching off of conversation view in the inbox and folders.]</t>
  </si>
  <si>
    <t>There should be an option to not use conversational threads and to work with single emails</t>
  </si>
  <si>
    <t>The awful email threads make it very difficult to work with. There should be an option to not use conversational threads and to work with single emails. [Improvement: Allow an option to switch off conversation threads in emails.]</t>
  </si>
  <si>
    <t>Get rid of the annoying email thread - and allow each email to be read individually</t>
  </si>
  <si>
    <t>It's slow and sluggish. It isn't as advanced as, say, as hotmail. [Improvement: Get rid of the annoying email thread - and allow each email to be read individually. Instead you cannot print emails properly and trying to compose a message and then try and find it again is exhausting]</t>
  </si>
  <si>
    <t>The emails to appear separated so that it can be easily read, Archive and follow up</t>
  </si>
  <si>
    <t>the way of viewing the emails to be mentioned as a thread (consolidated email) affect my daily tasks. [Improvement: The emails to appear separated so that it can be easily read, Archive and follow up.]</t>
  </si>
  <si>
    <t>Remove stacked threads as an autosetting</t>
  </si>
  <si>
    <t>I love the read notifications and the app platform [Improvement: Remove stacked threads as an autosetting]</t>
  </si>
  <si>
    <t>I would really like to be able to choose not nested emails</t>
  </si>
  <si>
    <t>Titan is fast, reliable and easy to use. [Improvement: I would really like to be able to choose not nested emails.]</t>
  </si>
  <si>
    <t>Allow users to turn off threads</t>
  </si>
  <si>
    <t>There is a lot of basic functionality still missing, but the basis product is good and the support staff are as well [Improvement: implement more basic functionality. Allow users to turn off threads. Threads while useful, can also be a nuisance for some functions.]</t>
  </si>
  <si>
    <t>i liked the earlier version where each sent mail was separate . this one bunches a thread</t>
  </si>
  <si>
    <t>too many pop ups . i liked the earlier version where each sent mail was separate . this one bunches a thread. mail often does not open on laptop [Improvement: read the feedback i shared]</t>
  </si>
  <si>
    <t>It would be appreciated if emails could be sent individually rather than grouped together</t>
  </si>
  <si>
    <t>I do not like the system that joins emails by subject; I prefer by date. I could not manage to change the setting</t>
  </si>
  <si>
    <t>I do not like the system that joins emails by subject; I prefer by date. I could not manage to change the setting.</t>
  </si>
  <si>
    <t>Don't like nested messages</t>
  </si>
  <si>
    <t>Don't like nested messages and also, it's not intutuive how to create folders. [Improvement: No nested messages...]</t>
  </si>
  <si>
    <t>The email thread is not friendly, or I do not know how to disable it</t>
  </si>
  <si>
    <t>Accessing the admin menu is very complex. The email thread is not friendly, or I do not know how to disable it. [Improvement: improve access to admin and include more topics in the help section]</t>
  </si>
  <si>
    <t>Do not create threads out of an email</t>
  </si>
  <si>
    <t>Easy to access, only it is not easy when email threads build up - it is not practical for me. [Improvement: Do not create threads out of an email - or perhaps I do not know how to use it properly]</t>
  </si>
  <si>
    <t>I do not like the email compilation feature. [Improvement: By not grouping the emails]</t>
  </si>
  <si>
    <t>remove the thread conversations</t>
  </si>
  <si>
    <t>Impossible to add to outlook app snd also remove the thread conversations</t>
  </si>
  <si>
    <t>In single message print .... it should print whole thread. In general print email ... it should avoid duplication print of same message</t>
  </si>
  <si>
    <t>email printing is not appropriate [Improvement: In single message print .... it should print whole thread. In general print email ... it should avoid duplication print of same message]</t>
  </si>
  <si>
    <t>Give me the opportunity to choose upon the way my emails are combined/collided</t>
  </si>
  <si>
    <t>I do not like the way of presenting of the emails sent under the same topic [Improvement: Give me the opportunity to choose upon the way my emails are combined/collided.]</t>
  </si>
  <si>
    <t>when we need to print a chain of emails there are problems or difficulties</t>
  </si>
  <si>
    <t>The system is good, but when we need to print a chain of emails there are problems or difficulties. [Improvement: By organising the messages in a date sequence without repeating email chains or loose messages.]</t>
  </si>
  <si>
    <t>often printing a message thread doesn't work</t>
  </si>
  <si>
    <t>I find it difficult to find messages and often printing a message thread doesn't work. [Improvement: see why I gave the score]</t>
  </si>
  <si>
    <t>reply emails join together and it gets confusing; I could not find a setting to split them</t>
  </si>
  <si>
    <t>reply emails join together and it gets confusing; I could not find a setting to split them [Improvement: do not join reply emails together]</t>
  </si>
  <si>
    <t>I cannot print an email thread</t>
  </si>
  <si>
    <t>I cannot print an email thread, which has made working very hard these last few months [Improvement: by adding features like printing an email thread]</t>
  </si>
  <si>
    <t>Most email threads can't be printed--it's a blank screen when I choose "print conversation."</t>
  </si>
  <si>
    <t>Can't work with individual emails, they are all in nightmarish THREADS. Can't file sent emails. If I delete one email in a THREAD, they all get deleted! Most email threads can't be printed--it's a blank screen when I choose "print conversation." SO MANY BUGS. ESPECIALLY the thread views. They are so freakishly complicated and difficult. I sent out an invitation to sixty people who all individually replied. Just imagine how easy it was to miss replies. [Improvement: Fix all the stuff I just listed!]</t>
  </si>
  <si>
    <t>being able to ungroup conversations</t>
  </si>
  <si>
    <t>it prints the whole string, repeating some messages multiple times</t>
  </si>
  <si>
    <t>Difficult to use, If I want to print out 1 email from a chain of emails, it prints the whole string, repeating some messages multiple times. It I receive on "out of hours" message from 1 recipient from a message sent to multiple recipients, I cannot delete that one message from the string, as it deletes the whole chain.</t>
  </si>
  <si>
    <t>The subject name does not update when you change it in an email history or follow-up. [Improvement: By improving how emails are sent, updating the subject, being able to ungroup conversations, etc.]</t>
  </si>
  <si>
    <t>Difficult to print individual emails in a conversation</t>
  </si>
  <si>
    <t>Difficult to print individual emails in a conversation. Printing emails doesn't show date and time. [Improvement: Enable individual emails in a conversation to be printed separately. When printing emails, show date and time of each.]</t>
  </si>
  <si>
    <t>isolating an individual email from a trail and responding to that is a nightmare. All emails are lumped together</t>
  </si>
  <si>
    <t>It makes printing individual e-mails tough</t>
  </si>
  <si>
    <t>I do not like the e-mail grouping. It makes printing individual e-mails tough. Somehow I got flagged as spam and my clients do not get my e-mails. I plan to switch soon.</t>
  </si>
  <si>
    <t>This may be my ignorance but isolating an individual email from a trail and responding to that is a nightmare. All emails are lumped together and coming from outlook, it is a real headache. [Improvement: Make it possible to easily isolate an email from a trail. Sometimes I hit reply within a trail...or forward and I have no idea where it went.]</t>
  </si>
  <si>
    <t>you cannot print emails properly</t>
  </si>
  <si>
    <t>the email thread. I don't like it. Don't know how to take it off</t>
  </si>
  <si>
    <t>the calendar is awesome. as the owner of a cleaning company it gives you the opportunity to set up the cleaning days ahead of time. it is a plus [Improvement: the email thread. I don't like it. Don't know how to take it off. Help]</t>
  </si>
  <si>
    <t>I do not like grouping emails into conversations</t>
  </si>
  <si>
    <t>I do not like grouping emails into conversations [Improvement: Give more options on emails]</t>
  </si>
  <si>
    <t>do away with the stacked emails</t>
  </si>
  <si>
    <t>by not joining all the mails together</t>
  </si>
  <si>
    <t>they should be distinct messages carrying the history of the earlier ones</t>
  </si>
  <si>
    <t>The score could be better, but for that the tool (email) needs to be more practical: a message, when started as a "reply" or even a "forward", has some tools frozen, such as the "Title". Another issue is the pile-up on the same message that is replied to (they are all saved within the same message) - they should be distinct messages carrying the history of the earlier ones, because the way it is now it is harder to follow how the conversation unfolds.</t>
  </si>
  <si>
    <t>annoying that emails are merged into a conversational you' can't stop that</t>
  </si>
  <si>
    <t>no mail by thread</t>
  </si>
  <si>
    <t>Archive mail by thread and not one by one is not good [Improvement: more space and no mail by thread]</t>
  </si>
  <si>
    <t>emails are thread emails and combined focused and cannot change them</t>
  </si>
  <si>
    <t>Cannot extend the page as popup to full page view and emails are thread emails and combined focused and cannot change them [Improvement: perform better]</t>
  </si>
  <si>
    <t>An individual mail does not open by just clicking it on</t>
  </si>
  <si>
    <t>An individual mail does not open by just clicking it on. I'm forced to scroll on a reduced side screen which is very frustrating. Even g-mail works better.</t>
  </si>
  <si>
    <t>I can't separate emails within a chain!</t>
  </si>
  <si>
    <t>I can't file individual emails; I can't file sent emails at all; I can't separate emails within a chain! If I move on message to a folder, ALL the messages related to that chain move. I can't make sense of the chain messages. IT IS AN AWFUL USER INTERFACE, FULL OF BUGS.</t>
  </si>
  <si>
    <t>Unable to thread and unthread emails properly</t>
  </si>
  <si>
    <t>Unable to thread and unthread emails properly [Improvement: inprove options on how to display emails regardimg threading and unthreading]</t>
  </si>
  <si>
    <t>Stop stacking the messages, it is confusing</t>
  </si>
  <si>
    <t>I don't like the stacking messages [Improvement: Stop stacking the messages, it is confusing]</t>
  </si>
  <si>
    <t>Ensure that emails can be read signally instead of threads</t>
  </si>
  <si>
    <t>This program is a hassle to clear past emails to get space for your account. You cannot copy or edit email addresses when forwarding emails to customers. It's overall just a poorly designed email [Improvement: Ensure that emails can be read signally instead of threads would be a start. In addition you cannot preview emails]</t>
  </si>
  <si>
    <t>Can't work with individual emails, they are all in nightmarish THREADS</t>
  </si>
  <si>
    <t>I haven't been able to figure out how to separate the emails so that all correspondence is visible as separate emails</t>
  </si>
  <si>
    <t>Not options to personalize, ungroup conversations</t>
  </si>
  <si>
    <t>Not options to personalize, ungroup conversations, etc.</t>
  </si>
  <si>
    <t>I do not like the email grouping feature</t>
  </si>
  <si>
    <t>I think it is a good alternative compared to other programs on the market. However, I do not like the email grouping feature (the same approach used in Gmail) and not being able to check attachments without having to download them. [Improvement: By looking at the previous message]</t>
  </si>
  <si>
    <t>You need to fix the conversation thread, 592 votes to change it to how EVERY.OTHER.NORMAL. email service does it</t>
  </si>
  <si>
    <t>The mobile phone app has never worked correctly. You need to fix the conversation thread, 592 votes to change it to how EVERY.OTHER.NORMAL. email service does it, ie Yahoo or MS Outlook. Why can't I reply to a message that's in the middle of the thread? [Improvement: Fix the mobile app and listen to the 592 votes regarding the email thread conversations.]</t>
  </si>
  <si>
    <t>only conversation view available</t>
  </si>
  <si>
    <t>Weak search bar capacities, PDF and some other files not opening viewable and they are downloaded to the computer right away, only conversation view available, etc.</t>
  </si>
  <si>
    <t>to make it possible to have emails separately</t>
  </si>
  <si>
    <t>email forwarding thread is still an issue. [Improvement: yes, please fix the email forwarding thread. to make it possible to have emails separately.]</t>
  </si>
  <si>
    <t>fix the conversation mode, like alot of your customers have already requested</t>
  </si>
  <si>
    <t>the email is in conversation mode, and it is extremely frustrating is the number one reason i would not recommend [Improvement: fix the conversation mode, like alot of your customers have already requested]</t>
  </si>
  <si>
    <t>I JUST DO NOT LIKE THAT IT GROUPS THE MESSAGES INTO A CONVERSATION</t>
  </si>
  <si>
    <t>I LIKE THE HOST, I JUST DO NOT LIKE THAT IT GROUPS THE MESSAGES INTO A CONVERSATION, THE WHOLE FOLLOW-UP</t>
  </si>
  <si>
    <t>If you manage to add an option as a user setting regarding grouping</t>
  </si>
  <si>
    <t>I have difficulties managing the inbox. It does not feel intuitive to me given the grouping criteria and the handling of each conversation's history. I am an Outlook user and switching to Titan is hard for me. If you manage to add an option as a user setting regarding grouping, my rating would be 8. The tool is stable, look &amp; feel is right.</t>
  </si>
  <si>
    <t>simple commands such as not grouping by email trail I was told this wasn't possible</t>
  </si>
  <si>
    <t>terrible platform very clunky, emails bounicng and keeping missing things, not intuitive layout and when I went to ask about simple commands such as not grouping by email trail I was told this wasn't possible. Will defs be moving to a new platform when I can</t>
  </si>
  <si>
    <t>Do not like the emails being bundled</t>
  </si>
  <si>
    <t>Too confusing to figure out how to work. Do not like the emails being bundled. [Improvement: Dont know]</t>
  </si>
  <si>
    <t>I cannot separate emails with the same "subject"</t>
  </si>
  <si>
    <t>I cannot separate emails with the same "subject" and I cannot delete one or more emails without the entire chain of emails being deleted as well</t>
  </si>
  <si>
    <t>Keep the email separate instead of always adding on to the original</t>
  </si>
  <si>
    <t>Too confusing to use. [Improvement: Keep the email separate instead of always adding on to the original. Or, tell me what setting to use.]</t>
  </si>
  <si>
    <t>I don't like how the conversations are grouped</t>
  </si>
  <si>
    <t>ensure each e-mail is accessible separately from the chain</t>
  </si>
  <si>
    <t>have the option to see the thread/email history or only the last email that arrived</t>
  </si>
  <si>
    <t>Separate messages</t>
  </si>
  <si>
    <t>Because it is easy to use. [Improvement: Separate messages]</t>
  </si>
  <si>
    <t>Make the e mails easier to see rather than lumping them all in together</t>
  </si>
  <si>
    <t>I find the layout annoying. I don't like the way e mails to and from one person are lumped together. It's not always easy to find the reply button when you have this great long e mail trail [Improvement: Make the e mails easier to see rather than lumping them all in together]</t>
  </si>
  <si>
    <t>Let me move invidual emails OUTside of threads</t>
  </si>
  <si>
    <t>The app is getting better all the time but it's still clunky [Improvement: Let me move invidual emails OUTside of threads and let me move SENT emails into my subfolders in my inbox please]</t>
  </si>
  <si>
    <t>by giving the option for the email history to stay separate</t>
  </si>
  <si>
    <t>the way the emails work is very confusing [Improvement: by giving the option for the email history to stay separate]</t>
  </si>
  <si>
    <t>do not pile up sent with received</t>
  </si>
  <si>
    <t>very confusing to separate emails for reference [Improvement: do not pile up sent with received]</t>
  </si>
  <si>
    <t>Being able to separate mail threads like in outlook so they are easier to find</t>
  </si>
  <si>
    <t>it's working very well and seems reliable, but still missing some features [Improvement: Have contacts in .vcf format. Being able to separate mail threads like in outlook so they are easier to find]</t>
  </si>
  <si>
    <t>the auto bundling of emails is a show stopper</t>
  </si>
  <si>
    <t>the auto bundling of emails is a show stopper - you've over reached "security" with basic user needs and functionality.</t>
  </si>
  <si>
    <t>All messages go into one thread, outlook much more convenient</t>
  </si>
  <si>
    <t>1. Bad search engine. Have to search exact email address. 2. All messages go into one thread, outlook much more convenient.</t>
  </si>
  <si>
    <t>Don't like I can't pull up 1 message and expand</t>
  </si>
  <si>
    <t>an option to split chained emails better</t>
  </si>
  <si>
    <t>because it is an intuitive and effective email; it gives you display and template options that help a lot. [Improvement: an option to split chained emails better]</t>
  </si>
  <si>
    <t>I do not like the e-mail grouping</t>
  </si>
  <si>
    <t>I hate conversation view</t>
  </si>
  <si>
    <t>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</si>
</sst>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9">
    <font>
      <sz val="11.0"/>
      <color theme="1"/>
      <name val="Calibri"/>
      <scheme val="minor"/>
    </font>
    <font>
      <b/>
      <sz val="13.0"/>
      <color rgb="FF1F3864"/>
      <name val="Arial"/>
    </font>
    <font>
      <i/>
      <sz val="9.0"/>
      <color rgb="FF595959"/>
      <name val="Arial"/>
    </font>
    <font>
      <b/>
      <sz val="11.0"/>
      <color rgb="FF1F3864"/>
      <name val="Arial"/>
    </font>
    <font>
      <b/>
      <sz val="10.0"/>
      <color rgb="FFFFFFFF"/>
      <name val="Arial"/>
    </font>
    <font>
      <sz val="10.0"/>
      <color theme="1"/>
      <name val="Arial"/>
    </font>
    <font>
      <b/>
      <sz val="10.0"/>
      <color rgb="FF1F3864"/>
      <name val="Arial"/>
    </font>
    <font>
      <i/>
      <sz val="10.0"/>
      <color rgb="FF595959"/>
      <name val="Arial"/>
    </font>
    <font>
      <b/>
      <sz val="10.0"/>
      <color theme="1"/>
      <name val="Arial"/>
    </font>
  </fonts>
  <fills count="3">
    <fill>
      <patternFill patternType="none"/>
    </fill>
    <fill>
      <patternFill patternType="lightGray"/>
    </fill>
    <fill>
      <patternFill patternType="solid">
        <fgColor rgb="FF1F3864"/>
        <bgColor rgb="FF1F3864"/>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0" fillId="0" fontId="5" numFmtId="0" xfId="0" applyAlignment="1" applyFont="1">
      <alignment shrinkToFit="0" vertical="bottom" wrapText="0"/>
    </xf>
    <xf borderId="0" fillId="0" fontId="6" numFmtId="0" xfId="0" applyAlignment="1" applyFont="1">
      <alignment horizontal="left" shrinkToFit="0" vertical="bottom" wrapText="0"/>
    </xf>
    <xf borderId="1" fillId="0" fontId="5" numFmtId="0" xfId="0" applyAlignment="1" applyBorder="1" applyFont="1">
      <alignment shrinkToFit="0" vertical="top" wrapText="0"/>
    </xf>
    <xf borderId="0" fillId="0" fontId="7" numFmtId="164" xfId="0" applyAlignment="1" applyFont="1" applyNumberFormat="1">
      <alignment horizontal="left" shrinkToFit="0" vertical="bottom" wrapText="0"/>
    </xf>
    <xf borderId="1" fillId="0" fontId="5" numFmtId="165" xfId="0" applyAlignment="1" applyBorder="1" applyFont="1" applyNumberFormat="1">
      <alignment shrinkToFit="0" vertical="top" wrapText="0"/>
    </xf>
    <xf borderId="1" fillId="0" fontId="5" numFmtId="0" xfId="0" applyAlignment="1" applyBorder="1" applyFont="1">
      <alignment shrinkToFit="0" vertical="bottom" wrapText="0"/>
    </xf>
    <xf borderId="1" fillId="0" fontId="6" numFmtId="0" xfId="0" applyAlignment="1" applyBorder="1" applyFont="1">
      <alignment shrinkToFit="0" vertical="top" wrapText="0"/>
    </xf>
    <xf borderId="1" fillId="0" fontId="5" numFmtId="0" xfId="0" applyAlignment="1" applyBorder="1" applyFont="1">
      <alignment shrinkToFit="0" vertical="top" wrapText="1"/>
    </xf>
    <xf borderId="1" fillId="2" fontId="4" numFmtId="0" xfId="0" applyAlignment="1" applyBorder="1" applyFill="1" applyFont="1">
      <alignment horizontal="center" readingOrder="0" shrinkToFit="0" vertical="center" wrapText="1"/>
    </xf>
    <xf borderId="1" fillId="0" fontId="5" numFmtId="0" xfId="0" applyAlignment="1" applyBorder="1" applyFont="1">
      <alignment horizontal="center" shrinkToFit="0" vertical="bottom" wrapText="0"/>
    </xf>
    <xf borderId="1" fillId="0" fontId="5" numFmtId="0" xfId="0" applyAlignment="1" applyBorder="1" applyFont="1">
      <alignment horizontal="center" shrinkToFit="0" vertical="top" wrapText="0"/>
    </xf>
    <xf borderId="1" fillId="0" fontId="5" numFmtId="0" xfId="0" applyAlignment="1" applyBorder="1" applyFont="1">
      <alignment readingOrder="0" shrinkToFit="0" vertical="top" wrapText="1"/>
    </xf>
    <xf borderId="1" fillId="0" fontId="5" numFmtId="0" xfId="0" applyAlignment="1" applyBorder="1" applyFont="1">
      <alignment horizontal="center" readingOrder="0" shrinkToFit="0" vertical="top" wrapText="0"/>
    </xf>
    <xf borderId="0" fillId="0" fontId="8" numFmtId="0" xfId="0" applyAlignment="1" applyFont="1">
      <alignment horizontal="right" shrinkToFit="0" vertical="bottom" wrapText="0"/>
    </xf>
    <xf borderId="0" fillId="0" fontId="8" numFmtId="0" xfId="0" applyAlignment="1" applyFont="1">
      <alignment horizontal="center" shrinkToFit="0" vertical="bottom" wrapText="0"/>
    </xf>
    <xf borderId="0" fillId="0" fontId="8"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0.0"/>
    <col customWidth="1" min="3" max="3" width="58.0"/>
    <col customWidth="1" min="4" max="4" width="76.0"/>
    <col customWidth="1" min="5" max="6" width="13.0"/>
    <col customWidth="1" min="7" max="27" width="8.71"/>
  </cols>
  <sheetData>
    <row r="1">
      <c r="A1" s="1" t="s">
        <v>0</v>
      </c>
    </row>
    <row r="2">
      <c r="A2" s="2" t="s">
        <v>3</v>
      </c>
    </row>
    <row r="4">
      <c r="A4" s="3" t="s">
        <v>5</v>
      </c>
    </row>
    <row r="5">
      <c r="A5" s="5" t="s">
        <v>7</v>
      </c>
      <c r="B5" s="6">
        <v>757.0</v>
      </c>
    </row>
    <row r="6">
      <c r="A6" s="5" t="s">
        <v>25</v>
      </c>
      <c r="B6" s="6" t="s">
        <v>27</v>
      </c>
    </row>
    <row r="7">
      <c r="A7" s="5" t="s">
        <v>29</v>
      </c>
      <c r="B7" s="6" t="s">
        <v>31</v>
      </c>
    </row>
    <row r="8">
      <c r="A8" s="5" t="s">
        <v>35</v>
      </c>
      <c r="B8" s="6">
        <v>654.0</v>
      </c>
    </row>
    <row r="9">
      <c r="A9" s="5" t="s">
        <v>37</v>
      </c>
      <c r="B9" s="6">
        <v>460.0</v>
      </c>
      <c r="C9" s="8">
        <f>B9/B5</f>
        <v>0.607661823</v>
      </c>
      <c r="D9" s="2" t="s">
        <v>51</v>
      </c>
    </row>
    <row r="10">
      <c r="A10" s="5" t="s">
        <v>52</v>
      </c>
      <c r="B10" s="6">
        <f>COUNT('Unclassified Feedback'!$A$2:$A$2000)</f>
        <v>297</v>
      </c>
      <c r="C10" s="8">
        <f>B10/B5</f>
        <v>0.392338177</v>
      </c>
      <c r="D10" s="2" t="s">
        <v>57</v>
      </c>
    </row>
    <row r="11">
      <c r="A11" s="5" t="s">
        <v>58</v>
      </c>
      <c r="B11" s="6">
        <f>F29</f>
        <v>545</v>
      </c>
    </row>
    <row r="12">
      <c r="A12" s="5" t="s">
        <v>59</v>
      </c>
      <c r="B12" s="6">
        <v>80.0</v>
      </c>
      <c r="C12" s="8">
        <f>B12/B9</f>
        <v>0.1739130435</v>
      </c>
      <c r="D12" s="2" t="s">
        <v>60</v>
      </c>
    </row>
    <row r="13">
      <c r="A13" s="5" t="s">
        <v>61</v>
      </c>
      <c r="B13" s="6" t="str">
        <f>COUNTIF($F$16:$F$28,"&gt;0")&amp;" of "&amp;COUNTA($B$16:$B$28)</f>
        <v>12 of 13</v>
      </c>
    </row>
    <row r="15" ht="31.5" customHeight="1">
      <c r="A15" s="4" t="s">
        <v>6</v>
      </c>
      <c r="B15" s="4" t="s">
        <v>16</v>
      </c>
      <c r="C15" s="4" t="s">
        <v>63</v>
      </c>
      <c r="D15" s="4" t="s">
        <v>64</v>
      </c>
      <c r="E15" s="13" t="s">
        <v>65</v>
      </c>
      <c r="F15" s="4" t="s">
        <v>93</v>
      </c>
    </row>
    <row r="16" ht="78.0" customHeight="1">
      <c r="A16" s="7" t="s">
        <v>50</v>
      </c>
      <c r="B16" s="7" t="s">
        <v>62</v>
      </c>
      <c r="C16" s="12" t="s">
        <v>122</v>
      </c>
      <c r="D16" s="12" t="s">
        <v>125</v>
      </c>
      <c r="E16" s="15"/>
      <c r="F16" s="15">
        <f>COUNT('Message Ordering'!$B$2:$B$2000)</f>
        <v>94</v>
      </c>
    </row>
    <row r="17" ht="78.0" customHeight="1">
      <c r="A17" s="7" t="s">
        <v>50</v>
      </c>
      <c r="B17" s="7" t="s">
        <v>173</v>
      </c>
      <c r="C17" s="12" t="s">
        <v>174</v>
      </c>
      <c r="D17" s="16" t="s">
        <v>177</v>
      </c>
      <c r="E17" s="15"/>
      <c r="F17" s="15">
        <f>COUNT('Jump to Latest'!$B$2:$B$2000)</f>
        <v>69</v>
      </c>
    </row>
    <row r="18" ht="78.0" customHeight="1">
      <c r="A18" s="7" t="s">
        <v>50</v>
      </c>
      <c r="B18" s="7" t="s">
        <v>194</v>
      </c>
      <c r="C18" s="12" t="s">
        <v>196</v>
      </c>
      <c r="D18" s="12" t="s">
        <v>198</v>
      </c>
      <c r="E18" s="15"/>
      <c r="F18" s="15">
        <f>COUNT('Find Specific Message'!$B$2:$B$2000)</f>
        <v>80</v>
      </c>
    </row>
    <row r="19" ht="78.0" customHeight="1">
      <c r="A19" s="7" t="s">
        <v>50</v>
      </c>
      <c r="B19" s="7" t="s">
        <v>213</v>
      </c>
      <c r="C19" s="12" t="s">
        <v>214</v>
      </c>
      <c r="D19" s="12" t="s">
        <v>215</v>
      </c>
      <c r="E19" s="15"/>
      <c r="F19" s="15">
        <f>COUNT('Read-Unread Visibility'!$B$2:$B$2000)</f>
        <v>0</v>
      </c>
    </row>
    <row r="20" ht="78.0" customHeight="1">
      <c r="A20" s="7" t="s">
        <v>225</v>
      </c>
      <c r="B20" s="7" t="s">
        <v>227</v>
      </c>
      <c r="C20" s="12" t="s">
        <v>229</v>
      </c>
      <c r="D20" s="12" t="s">
        <v>230</v>
      </c>
      <c r="E20" s="15"/>
      <c r="F20" s="15">
        <f>COUNT('Mark Message Unread'!$B$2:$B$2000)</f>
        <v>3</v>
      </c>
    </row>
    <row r="21" ht="78.0" customHeight="1">
      <c r="A21" s="7" t="s">
        <v>238</v>
      </c>
      <c r="B21" s="7" t="s">
        <v>242</v>
      </c>
      <c r="C21" s="12" t="s">
        <v>243</v>
      </c>
      <c r="D21" s="12" t="s">
        <v>246</v>
      </c>
      <c r="E21" s="17" t="s">
        <v>248</v>
      </c>
      <c r="F21" s="15">
        <f>COUNT('Disable Conversation'!$B$2:$B$2000)</f>
        <v>197</v>
      </c>
    </row>
    <row r="22" ht="78.0" customHeight="1">
      <c r="A22" s="7" t="s">
        <v>238</v>
      </c>
      <c r="B22" s="7" t="s">
        <v>267</v>
      </c>
      <c r="C22" s="12" t="s">
        <v>268</v>
      </c>
      <c r="D22" s="12" t="s">
        <v>271</v>
      </c>
      <c r="E22" s="15"/>
      <c r="F22" s="15">
        <f>COUNT('Separate Branches'!$B$2:$B$2000)</f>
        <v>23</v>
      </c>
    </row>
    <row r="23" ht="78.0" customHeight="1">
      <c r="A23" s="7" t="s">
        <v>279</v>
      </c>
      <c r="B23" s="7" t="s">
        <v>280</v>
      </c>
      <c r="C23" s="12" t="s">
        <v>283</v>
      </c>
      <c r="D23" s="12" t="s">
        <v>284</v>
      </c>
      <c r="E23" s="15"/>
      <c r="F23" s="15">
        <f>COUNT('Quoted Readability'!$B$2:$B$2000)</f>
        <v>9</v>
      </c>
    </row>
    <row r="24" ht="78.0" customHeight="1">
      <c r="A24" s="7" t="s">
        <v>289</v>
      </c>
      <c r="B24" s="7" t="s">
        <v>290</v>
      </c>
      <c r="C24" s="12" t="s">
        <v>291</v>
      </c>
      <c r="D24" s="12" t="s">
        <v>293</v>
      </c>
      <c r="E24" s="15"/>
      <c r="F24" s="15">
        <f>COUNT('Attachment Discovery'!$B$2:$B$2000)</f>
        <v>29</v>
      </c>
    </row>
    <row r="25" ht="78.0" customHeight="1">
      <c r="A25" s="7" t="s">
        <v>289</v>
      </c>
      <c r="B25" s="7" t="s">
        <v>294</v>
      </c>
      <c r="C25" s="12" t="s">
        <v>295</v>
      </c>
      <c r="D25" s="12" t="s">
        <v>297</v>
      </c>
      <c r="E25" s="15"/>
      <c r="F25" s="15">
        <f>COUNT('Attachment Carry-over'!$B$2:$B$2000)</f>
        <v>1</v>
      </c>
    </row>
    <row r="26" ht="78.0" customHeight="1">
      <c r="A26" s="7" t="s">
        <v>304</v>
      </c>
      <c r="B26" s="7" t="s">
        <v>307</v>
      </c>
      <c r="C26" s="12" t="s">
        <v>308</v>
      </c>
      <c r="D26" s="12" t="s">
        <v>310</v>
      </c>
      <c r="E26" s="15"/>
      <c r="F26" s="15">
        <f>COUNT('Message Rendering'!$B$2:$B$2000)</f>
        <v>29</v>
      </c>
    </row>
    <row r="27" ht="78.0" customHeight="1">
      <c r="A27" s="7" t="s">
        <v>322</v>
      </c>
      <c r="B27" s="7" t="s">
        <v>323</v>
      </c>
      <c r="C27" s="12" t="s">
        <v>324</v>
      </c>
      <c r="D27" s="12" t="s">
        <v>326</v>
      </c>
      <c r="E27" s="15"/>
      <c r="F27" s="15">
        <f>COUNT('Attach Conversation'!$B$2:$B$2000)</f>
        <v>2</v>
      </c>
    </row>
    <row r="28" ht="78.0" customHeight="1">
      <c r="A28" s="7" t="s">
        <v>322</v>
      </c>
      <c r="B28" s="7" t="s">
        <v>336</v>
      </c>
      <c r="C28" s="12" t="s">
        <v>338</v>
      </c>
      <c r="D28" s="12" t="s">
        <v>341</v>
      </c>
      <c r="E28" s="15"/>
      <c r="F28" s="15">
        <f>COUNT('Print Conversation'!$B$2:$B$2000)</f>
        <v>9</v>
      </c>
    </row>
    <row r="29" ht="15.75" customHeight="1">
      <c r="D29" s="18" t="s">
        <v>361</v>
      </c>
      <c r="E29" s="19"/>
      <c r="F29" s="19">
        <f>SUM(F16:F28)</f>
        <v>545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30.0"/>
    <col customWidth="1" min="3" max="26" width="9.0"/>
  </cols>
  <sheetData>
    <row r="1">
      <c r="A1" s="1" t="s">
        <v>1</v>
      </c>
    </row>
    <row r="2">
      <c r="A2" s="2" t="s">
        <v>4</v>
      </c>
    </row>
    <row r="4" ht="31.5" customHeight="1">
      <c r="A4" s="4" t="s">
        <v>6</v>
      </c>
      <c r="B4" s="4" t="s">
        <v>16</v>
      </c>
      <c r="C4" s="4" t="s">
        <v>17</v>
      </c>
      <c r="D4" s="4" t="s">
        <v>18</v>
      </c>
      <c r="E4" s="4" t="s">
        <v>19</v>
      </c>
      <c r="F4" s="4" t="s">
        <v>20</v>
      </c>
      <c r="G4" s="4" t="s">
        <v>21</v>
      </c>
      <c r="H4" s="4" t="s">
        <v>22</v>
      </c>
      <c r="I4" s="4" t="s">
        <v>23</v>
      </c>
      <c r="J4" s="4" t="s">
        <v>24</v>
      </c>
      <c r="K4" s="4" t="s">
        <v>26</v>
      </c>
      <c r="L4" s="4" t="s">
        <v>28</v>
      </c>
      <c r="M4" s="4" t="s">
        <v>30</v>
      </c>
      <c r="N4" s="4" t="s">
        <v>32</v>
      </c>
      <c r="O4" s="4" t="s">
        <v>33</v>
      </c>
      <c r="P4" s="4" t="s">
        <v>34</v>
      </c>
      <c r="Q4" s="4" t="s">
        <v>36</v>
      </c>
      <c r="R4" s="4" t="s">
        <v>38</v>
      </c>
      <c r="S4" s="4" t="s">
        <v>39</v>
      </c>
      <c r="T4" s="4" t="s">
        <v>40</v>
      </c>
      <c r="U4" s="4" t="s">
        <v>41</v>
      </c>
      <c r="V4" s="4" t="s">
        <v>42</v>
      </c>
      <c r="W4" s="4" t="s">
        <v>43</v>
      </c>
      <c r="X4" s="4" t="s">
        <v>45</v>
      </c>
      <c r="Y4" s="4" t="s">
        <v>47</v>
      </c>
      <c r="Z4" s="4" t="s">
        <v>48</v>
      </c>
    </row>
    <row r="5">
      <c r="A5" s="10" t="s">
        <v>50</v>
      </c>
      <c r="B5" s="10" t="s">
        <v>62</v>
      </c>
      <c r="C5" s="14">
        <f>COUNTIFS('Message Ordering'!$C$2:$C$2000,"&gt;="&amp;DATE(2026,7,1),'Message Ordering'!$C$2:$C$2000,"&lt;="&amp;DATE(2026,9,30))</f>
        <v>4</v>
      </c>
      <c r="D5" s="14">
        <f>COUNTIFS('Message Ordering'!$C$2:$C$2000,"&gt;="&amp;DATE(2026,4,1),'Message Ordering'!$C$2:$C$2000,"&lt;="&amp;DATE(2026,6,30))</f>
        <v>6</v>
      </c>
      <c r="E5" s="14">
        <f>COUNTIFS('Message Ordering'!$C$2:$C$2000,"&gt;="&amp;DATE(2026,1,1),'Message Ordering'!$C$2:$C$2000,"&lt;="&amp;DATE(2026,3,31))</f>
        <v>3</v>
      </c>
      <c r="F5" s="14">
        <f>COUNTIFS('Message Ordering'!$C$2:$C$2000,"&gt;="&amp;DATE(2025,10,1),'Message Ordering'!$C$2:$C$2000,"&lt;="&amp;DATE(2025,12,31))</f>
        <v>7</v>
      </c>
      <c r="G5" s="14">
        <f>COUNTIFS('Message Ordering'!$C$2:$C$2000,"&gt;="&amp;DATE(2025,7,1),'Message Ordering'!$C$2:$C$2000,"&lt;="&amp;DATE(2025,9,30))</f>
        <v>5</v>
      </c>
      <c r="H5" s="14">
        <f>COUNTIFS('Message Ordering'!$C$2:$C$2000,"&gt;="&amp;DATE(2025,4,1),'Message Ordering'!$C$2:$C$2000,"&lt;="&amp;DATE(2025,6,30))</f>
        <v>5</v>
      </c>
      <c r="I5" s="14">
        <f>COUNTIFS('Message Ordering'!$C$2:$C$2000,"&gt;="&amp;DATE(2025,1,1),'Message Ordering'!$C$2:$C$2000,"&lt;="&amp;DATE(2025,3,31))</f>
        <v>5</v>
      </c>
      <c r="J5" s="14">
        <f>COUNTIFS('Message Ordering'!$C$2:$C$2000,"&gt;="&amp;DATE(2024,10,1),'Message Ordering'!$C$2:$C$2000,"&lt;="&amp;DATE(2024,12,31))</f>
        <v>3</v>
      </c>
      <c r="K5" s="14">
        <f>COUNTIFS('Message Ordering'!$C$2:$C$2000,"&gt;="&amp;DATE(2024,7,1),'Message Ordering'!$C$2:$C$2000,"&lt;="&amp;DATE(2024,9,30))</f>
        <v>6</v>
      </c>
      <c r="L5" s="14">
        <f>COUNTIFS('Message Ordering'!$C$2:$C$2000,"&gt;="&amp;DATE(2024,4,1),'Message Ordering'!$C$2:$C$2000,"&lt;="&amp;DATE(2024,6,30))</f>
        <v>5</v>
      </c>
      <c r="M5" s="14">
        <f>COUNTIFS('Message Ordering'!$C$2:$C$2000,"&gt;="&amp;DATE(2024,1,1),'Message Ordering'!$C$2:$C$2000,"&lt;="&amp;DATE(2024,3,31))</f>
        <v>5</v>
      </c>
      <c r="N5" s="14">
        <f>COUNTIFS('Message Ordering'!$C$2:$C$2000,"&gt;="&amp;DATE(2023,10,1),'Message Ordering'!$C$2:$C$2000,"&lt;="&amp;DATE(2023,12,31))</f>
        <v>3</v>
      </c>
      <c r="O5" s="14">
        <f>COUNTIFS('Message Ordering'!$C$2:$C$2000,"&gt;="&amp;DATE(2023,7,1),'Message Ordering'!$C$2:$C$2000,"&lt;="&amp;DATE(2023,9,30))</f>
        <v>7</v>
      </c>
      <c r="P5" s="14">
        <f>COUNTIFS('Message Ordering'!$C$2:$C$2000,"&gt;="&amp;DATE(2023,4,1),'Message Ordering'!$C$2:$C$2000,"&lt;="&amp;DATE(2023,6,30))</f>
        <v>5</v>
      </c>
      <c r="Q5" s="14">
        <f>COUNTIFS('Message Ordering'!$C$2:$C$2000,"&gt;="&amp;DATE(2023,1,1),'Message Ordering'!$C$2:$C$2000,"&lt;="&amp;DATE(2023,3,31))</f>
        <v>1</v>
      </c>
      <c r="R5" s="14">
        <f>COUNTIFS('Message Ordering'!$C$2:$C$2000,"&gt;="&amp;DATE(2022,10,1),'Message Ordering'!$C$2:$C$2000,"&lt;="&amp;DATE(2022,12,31))</f>
        <v>3</v>
      </c>
      <c r="S5" s="14">
        <f>COUNTIFS('Message Ordering'!$C$2:$C$2000,"&gt;="&amp;DATE(2022,7,1),'Message Ordering'!$C$2:$C$2000,"&lt;="&amp;DATE(2022,9,30))</f>
        <v>1</v>
      </c>
      <c r="T5" s="14">
        <f>COUNTIFS('Message Ordering'!$C$2:$C$2000,"&gt;="&amp;DATE(2022,4,1),'Message Ordering'!$C$2:$C$2000,"&lt;="&amp;DATE(2022,6,30))</f>
        <v>3</v>
      </c>
      <c r="U5" s="14">
        <f>COUNTIFS('Message Ordering'!$C$2:$C$2000,"&gt;="&amp;DATE(2022,1,1),'Message Ordering'!$C$2:$C$2000,"&lt;="&amp;DATE(2022,3,31))</f>
        <v>8</v>
      </c>
      <c r="V5" s="14">
        <f>COUNTIFS('Message Ordering'!$C$2:$C$2000,"&gt;="&amp;DATE(2021,10,1),'Message Ordering'!$C$2:$C$2000,"&lt;="&amp;DATE(2021,12,31))</f>
        <v>3</v>
      </c>
      <c r="W5" s="14">
        <f>COUNTIFS('Message Ordering'!$C$2:$C$2000,"&gt;="&amp;DATE(2021,7,1),'Message Ordering'!$C$2:$C$2000,"&lt;="&amp;DATE(2021,9,30))</f>
        <v>0</v>
      </c>
      <c r="X5" s="14">
        <f>COUNTIFS('Message Ordering'!$C$2:$C$2000,"&gt;="&amp;DATE(2021,4,1),'Message Ordering'!$C$2:$C$2000,"&lt;="&amp;DATE(2021,6,30))</f>
        <v>5</v>
      </c>
      <c r="Y5" s="14">
        <f>COUNTIFS('Message Ordering'!$C$2:$C$2000,"&gt;="&amp;DATE(2021,1,1),'Message Ordering'!$C$2:$C$2000,"&lt;="&amp;DATE(2021,3,31))</f>
        <v>1</v>
      </c>
      <c r="Z5" s="14">
        <f>COUNTIFS('Message Ordering'!$C$2:$C$2000,"&gt;="&amp;DATE(2020,10,1),'Message Ordering'!$C$2:$C$2000,"&lt;="&amp;DATE(2020,12,31))</f>
        <v>0</v>
      </c>
    </row>
    <row r="6">
      <c r="A6" s="10" t="s">
        <v>50</v>
      </c>
      <c r="B6" s="10" t="s">
        <v>173</v>
      </c>
      <c r="C6" s="14">
        <f>COUNTIFS('Jump to Latest'!$C$2:$C$2000,"&gt;="&amp;DATE(2026,7,1),'Jump to Latest'!$C$2:$C$2000,"&lt;="&amp;DATE(2026,9,30))</f>
        <v>2</v>
      </c>
      <c r="D6" s="14">
        <f>COUNTIFS('Jump to Latest'!$C$2:$C$2000,"&gt;="&amp;DATE(2026,4,1),'Jump to Latest'!$C$2:$C$2000,"&lt;="&amp;DATE(2026,6,30))</f>
        <v>6</v>
      </c>
      <c r="E6" s="14">
        <f>COUNTIFS('Jump to Latest'!$C$2:$C$2000,"&gt;="&amp;DATE(2026,1,1),'Jump to Latest'!$C$2:$C$2000,"&lt;="&amp;DATE(2026,3,31))</f>
        <v>4</v>
      </c>
      <c r="F6" s="14">
        <f>COUNTIFS('Jump to Latest'!$C$2:$C$2000,"&gt;="&amp;DATE(2025,10,1),'Jump to Latest'!$C$2:$C$2000,"&lt;="&amp;DATE(2025,12,31))</f>
        <v>1</v>
      </c>
      <c r="G6" s="14">
        <f>COUNTIFS('Jump to Latest'!$C$2:$C$2000,"&gt;="&amp;DATE(2025,7,1),'Jump to Latest'!$C$2:$C$2000,"&lt;="&amp;DATE(2025,9,30))</f>
        <v>2</v>
      </c>
      <c r="H6" s="14">
        <f>COUNTIFS('Jump to Latest'!$C$2:$C$2000,"&gt;="&amp;DATE(2025,4,1),'Jump to Latest'!$C$2:$C$2000,"&lt;="&amp;DATE(2025,6,30))</f>
        <v>2</v>
      </c>
      <c r="I6" s="14">
        <f>COUNTIFS('Jump to Latest'!$C$2:$C$2000,"&gt;="&amp;DATE(2025,1,1),'Jump to Latest'!$C$2:$C$2000,"&lt;="&amp;DATE(2025,3,31))</f>
        <v>1</v>
      </c>
      <c r="J6" s="14">
        <f>COUNTIFS('Jump to Latest'!$C$2:$C$2000,"&gt;="&amp;DATE(2024,10,1),'Jump to Latest'!$C$2:$C$2000,"&lt;="&amp;DATE(2024,12,31))</f>
        <v>2</v>
      </c>
      <c r="K6" s="14">
        <f>COUNTIFS('Jump to Latest'!$C$2:$C$2000,"&gt;="&amp;DATE(2024,7,1),'Jump to Latest'!$C$2:$C$2000,"&lt;="&amp;DATE(2024,9,30))</f>
        <v>2</v>
      </c>
      <c r="L6" s="14">
        <f>COUNTIFS('Jump to Latest'!$C$2:$C$2000,"&gt;="&amp;DATE(2024,4,1),'Jump to Latest'!$C$2:$C$2000,"&lt;="&amp;DATE(2024,6,30))</f>
        <v>0</v>
      </c>
      <c r="M6" s="14">
        <f>COUNTIFS('Jump to Latest'!$C$2:$C$2000,"&gt;="&amp;DATE(2024,1,1),'Jump to Latest'!$C$2:$C$2000,"&lt;="&amp;DATE(2024,3,31))</f>
        <v>1</v>
      </c>
      <c r="N6" s="14">
        <f>COUNTIFS('Jump to Latest'!$C$2:$C$2000,"&gt;="&amp;DATE(2023,10,1),'Jump to Latest'!$C$2:$C$2000,"&lt;="&amp;DATE(2023,12,31))</f>
        <v>1</v>
      </c>
      <c r="O6" s="14">
        <f>COUNTIFS('Jump to Latest'!$C$2:$C$2000,"&gt;="&amp;DATE(2023,7,1),'Jump to Latest'!$C$2:$C$2000,"&lt;="&amp;DATE(2023,9,30))</f>
        <v>3</v>
      </c>
      <c r="P6" s="14">
        <f>COUNTIFS('Jump to Latest'!$C$2:$C$2000,"&gt;="&amp;DATE(2023,4,1),'Jump to Latest'!$C$2:$C$2000,"&lt;="&amp;DATE(2023,6,30))</f>
        <v>9</v>
      </c>
      <c r="Q6" s="14">
        <f>COUNTIFS('Jump to Latest'!$C$2:$C$2000,"&gt;="&amp;DATE(2023,1,1),'Jump to Latest'!$C$2:$C$2000,"&lt;="&amp;DATE(2023,3,31))</f>
        <v>6</v>
      </c>
      <c r="R6" s="14">
        <f>COUNTIFS('Jump to Latest'!$C$2:$C$2000,"&gt;="&amp;DATE(2022,10,1),'Jump to Latest'!$C$2:$C$2000,"&lt;="&amp;DATE(2022,12,31))</f>
        <v>3</v>
      </c>
      <c r="S6" s="14">
        <f>COUNTIFS('Jump to Latest'!$C$2:$C$2000,"&gt;="&amp;DATE(2022,7,1),'Jump to Latest'!$C$2:$C$2000,"&lt;="&amp;DATE(2022,9,30))</f>
        <v>2</v>
      </c>
      <c r="T6" s="14">
        <f>COUNTIFS('Jump to Latest'!$C$2:$C$2000,"&gt;="&amp;DATE(2022,4,1),'Jump to Latest'!$C$2:$C$2000,"&lt;="&amp;DATE(2022,6,30))</f>
        <v>8</v>
      </c>
      <c r="U6" s="14">
        <f>COUNTIFS('Jump to Latest'!$C$2:$C$2000,"&gt;="&amp;DATE(2022,1,1),'Jump to Latest'!$C$2:$C$2000,"&lt;="&amp;DATE(2022,3,31))</f>
        <v>9</v>
      </c>
      <c r="V6" s="14">
        <f>COUNTIFS('Jump to Latest'!$C$2:$C$2000,"&gt;="&amp;DATE(2021,10,1),'Jump to Latest'!$C$2:$C$2000,"&lt;="&amp;DATE(2021,12,31))</f>
        <v>1</v>
      </c>
      <c r="W6" s="14">
        <f>COUNTIFS('Jump to Latest'!$C$2:$C$2000,"&gt;="&amp;DATE(2021,7,1),'Jump to Latest'!$C$2:$C$2000,"&lt;="&amp;DATE(2021,9,30))</f>
        <v>1</v>
      </c>
      <c r="X6" s="14">
        <f>COUNTIFS('Jump to Latest'!$C$2:$C$2000,"&gt;="&amp;DATE(2021,4,1),'Jump to Latest'!$C$2:$C$2000,"&lt;="&amp;DATE(2021,6,30))</f>
        <v>2</v>
      </c>
      <c r="Y6" s="14">
        <f>COUNTIFS('Jump to Latest'!$C$2:$C$2000,"&gt;="&amp;DATE(2021,1,1),'Jump to Latest'!$C$2:$C$2000,"&lt;="&amp;DATE(2021,3,31))</f>
        <v>1</v>
      </c>
      <c r="Z6" s="14">
        <f>COUNTIFS('Jump to Latest'!$C$2:$C$2000,"&gt;="&amp;DATE(2020,10,1),'Jump to Latest'!$C$2:$C$2000,"&lt;="&amp;DATE(2020,12,31))</f>
        <v>0</v>
      </c>
    </row>
    <row r="7">
      <c r="A7" s="10" t="s">
        <v>50</v>
      </c>
      <c r="B7" s="10" t="s">
        <v>194</v>
      </c>
      <c r="C7" s="14">
        <f>COUNTIFS('Find Specific Message'!$C$2:$C$2000,"&gt;="&amp;DATE(2026,7,1),'Find Specific Message'!$C$2:$C$2000,"&lt;="&amp;DATE(2026,9,30))</f>
        <v>1</v>
      </c>
      <c r="D7" s="14">
        <f>COUNTIFS('Find Specific Message'!$C$2:$C$2000,"&gt;="&amp;DATE(2026,4,1),'Find Specific Message'!$C$2:$C$2000,"&lt;="&amp;DATE(2026,6,30))</f>
        <v>8</v>
      </c>
      <c r="E7" s="14">
        <f>COUNTIFS('Find Specific Message'!$C$2:$C$2000,"&gt;="&amp;DATE(2026,1,1),'Find Specific Message'!$C$2:$C$2000,"&lt;="&amp;DATE(2026,3,31))</f>
        <v>2</v>
      </c>
      <c r="F7" s="14">
        <f>COUNTIFS('Find Specific Message'!$C$2:$C$2000,"&gt;="&amp;DATE(2025,10,1),'Find Specific Message'!$C$2:$C$2000,"&lt;="&amp;DATE(2025,12,31))</f>
        <v>3</v>
      </c>
      <c r="G7" s="14">
        <f>COUNTIFS('Find Specific Message'!$C$2:$C$2000,"&gt;="&amp;DATE(2025,7,1),'Find Specific Message'!$C$2:$C$2000,"&lt;="&amp;DATE(2025,9,30))</f>
        <v>3</v>
      </c>
      <c r="H7" s="14">
        <f>COUNTIFS('Find Specific Message'!$C$2:$C$2000,"&gt;="&amp;DATE(2025,4,1),'Find Specific Message'!$C$2:$C$2000,"&lt;="&amp;DATE(2025,6,30))</f>
        <v>3</v>
      </c>
      <c r="I7" s="14">
        <f>COUNTIFS('Find Specific Message'!$C$2:$C$2000,"&gt;="&amp;DATE(2025,1,1),'Find Specific Message'!$C$2:$C$2000,"&lt;="&amp;DATE(2025,3,31))</f>
        <v>5</v>
      </c>
      <c r="J7" s="14">
        <f>COUNTIFS('Find Specific Message'!$C$2:$C$2000,"&gt;="&amp;DATE(2024,10,1),'Find Specific Message'!$C$2:$C$2000,"&lt;="&amp;DATE(2024,12,31))</f>
        <v>1</v>
      </c>
      <c r="K7" s="14">
        <f>COUNTIFS('Find Specific Message'!$C$2:$C$2000,"&gt;="&amp;DATE(2024,7,1),'Find Specific Message'!$C$2:$C$2000,"&lt;="&amp;DATE(2024,9,30))</f>
        <v>3</v>
      </c>
      <c r="L7" s="14">
        <f>COUNTIFS('Find Specific Message'!$C$2:$C$2000,"&gt;="&amp;DATE(2024,4,1),'Find Specific Message'!$C$2:$C$2000,"&lt;="&amp;DATE(2024,6,30))</f>
        <v>3</v>
      </c>
      <c r="M7" s="14">
        <f>COUNTIFS('Find Specific Message'!$C$2:$C$2000,"&gt;="&amp;DATE(2024,1,1),'Find Specific Message'!$C$2:$C$2000,"&lt;="&amp;DATE(2024,3,31))</f>
        <v>3</v>
      </c>
      <c r="N7" s="14">
        <f>COUNTIFS('Find Specific Message'!$C$2:$C$2000,"&gt;="&amp;DATE(2023,10,1),'Find Specific Message'!$C$2:$C$2000,"&lt;="&amp;DATE(2023,12,31))</f>
        <v>2</v>
      </c>
      <c r="O7" s="14">
        <f>COUNTIFS('Find Specific Message'!$C$2:$C$2000,"&gt;="&amp;DATE(2023,7,1),'Find Specific Message'!$C$2:$C$2000,"&lt;="&amp;DATE(2023,9,30))</f>
        <v>2</v>
      </c>
      <c r="P7" s="14">
        <f>COUNTIFS('Find Specific Message'!$C$2:$C$2000,"&gt;="&amp;DATE(2023,4,1),'Find Specific Message'!$C$2:$C$2000,"&lt;="&amp;DATE(2023,6,30))</f>
        <v>2</v>
      </c>
      <c r="Q7" s="14">
        <f>COUNTIFS('Find Specific Message'!$C$2:$C$2000,"&gt;="&amp;DATE(2023,1,1),'Find Specific Message'!$C$2:$C$2000,"&lt;="&amp;DATE(2023,3,31))</f>
        <v>4</v>
      </c>
      <c r="R7" s="14">
        <f>COUNTIFS('Find Specific Message'!$C$2:$C$2000,"&gt;="&amp;DATE(2022,10,1),'Find Specific Message'!$C$2:$C$2000,"&lt;="&amp;DATE(2022,12,31))</f>
        <v>1</v>
      </c>
      <c r="S7" s="14">
        <f>COUNTIFS('Find Specific Message'!$C$2:$C$2000,"&gt;="&amp;DATE(2022,7,1),'Find Specific Message'!$C$2:$C$2000,"&lt;="&amp;DATE(2022,9,30))</f>
        <v>9</v>
      </c>
      <c r="T7" s="14">
        <f>COUNTIFS('Find Specific Message'!$C$2:$C$2000,"&gt;="&amp;DATE(2022,4,1),'Find Specific Message'!$C$2:$C$2000,"&lt;="&amp;DATE(2022,6,30))</f>
        <v>9</v>
      </c>
      <c r="U7" s="14">
        <f>COUNTIFS('Find Specific Message'!$C$2:$C$2000,"&gt;="&amp;DATE(2022,1,1),'Find Specific Message'!$C$2:$C$2000,"&lt;="&amp;DATE(2022,3,31))</f>
        <v>3</v>
      </c>
      <c r="V7" s="14">
        <f>COUNTIFS('Find Specific Message'!$C$2:$C$2000,"&gt;="&amp;DATE(2021,10,1),'Find Specific Message'!$C$2:$C$2000,"&lt;="&amp;DATE(2021,12,31))</f>
        <v>5</v>
      </c>
      <c r="W7" s="14">
        <f>COUNTIFS('Find Specific Message'!$C$2:$C$2000,"&gt;="&amp;DATE(2021,7,1),'Find Specific Message'!$C$2:$C$2000,"&lt;="&amp;DATE(2021,9,30))</f>
        <v>2</v>
      </c>
      <c r="X7" s="14">
        <f>COUNTIFS('Find Specific Message'!$C$2:$C$2000,"&gt;="&amp;DATE(2021,4,1),'Find Specific Message'!$C$2:$C$2000,"&lt;="&amp;DATE(2021,6,30))</f>
        <v>4</v>
      </c>
      <c r="Y7" s="14">
        <f>COUNTIFS('Find Specific Message'!$C$2:$C$2000,"&gt;="&amp;DATE(2021,1,1),'Find Specific Message'!$C$2:$C$2000,"&lt;="&amp;DATE(2021,3,31))</f>
        <v>1</v>
      </c>
      <c r="Z7" s="14">
        <f>COUNTIFS('Find Specific Message'!$C$2:$C$2000,"&gt;="&amp;DATE(2020,10,1),'Find Specific Message'!$C$2:$C$2000,"&lt;="&amp;DATE(2020,12,31))</f>
        <v>1</v>
      </c>
    </row>
    <row r="8">
      <c r="A8" s="10" t="s">
        <v>50</v>
      </c>
      <c r="B8" s="10" t="s">
        <v>213</v>
      </c>
      <c r="C8" s="14">
        <f>COUNTIFS('Read-Unread Visibility'!$C$2:$C$2000,"&gt;="&amp;DATE(2026,7,1),'Read-Unread Visibility'!$C$2:$C$2000,"&lt;="&amp;DATE(2026,9,30))</f>
        <v>0</v>
      </c>
      <c r="D8" s="14">
        <f>COUNTIFS('Read-Unread Visibility'!$C$2:$C$2000,"&gt;="&amp;DATE(2026,4,1),'Read-Unread Visibility'!$C$2:$C$2000,"&lt;="&amp;DATE(2026,6,30))</f>
        <v>0</v>
      </c>
      <c r="E8" s="14">
        <f>COUNTIFS('Read-Unread Visibility'!$C$2:$C$2000,"&gt;="&amp;DATE(2026,1,1),'Read-Unread Visibility'!$C$2:$C$2000,"&lt;="&amp;DATE(2026,3,31))</f>
        <v>0</v>
      </c>
      <c r="F8" s="14">
        <f>COUNTIFS('Read-Unread Visibility'!$C$2:$C$2000,"&gt;="&amp;DATE(2025,10,1),'Read-Unread Visibility'!$C$2:$C$2000,"&lt;="&amp;DATE(2025,12,31))</f>
        <v>0</v>
      </c>
      <c r="G8" s="14">
        <f>COUNTIFS('Read-Unread Visibility'!$C$2:$C$2000,"&gt;="&amp;DATE(2025,7,1),'Read-Unread Visibility'!$C$2:$C$2000,"&lt;="&amp;DATE(2025,9,30))</f>
        <v>0</v>
      </c>
      <c r="H8" s="14">
        <f>COUNTIFS('Read-Unread Visibility'!$C$2:$C$2000,"&gt;="&amp;DATE(2025,4,1),'Read-Unread Visibility'!$C$2:$C$2000,"&lt;="&amp;DATE(2025,6,30))</f>
        <v>0</v>
      </c>
      <c r="I8" s="14">
        <f>COUNTIFS('Read-Unread Visibility'!$C$2:$C$2000,"&gt;="&amp;DATE(2025,1,1),'Read-Unread Visibility'!$C$2:$C$2000,"&lt;="&amp;DATE(2025,3,31))</f>
        <v>0</v>
      </c>
      <c r="J8" s="14">
        <f>COUNTIFS('Read-Unread Visibility'!$C$2:$C$2000,"&gt;="&amp;DATE(2024,10,1),'Read-Unread Visibility'!$C$2:$C$2000,"&lt;="&amp;DATE(2024,12,31))</f>
        <v>0</v>
      </c>
      <c r="K8" s="14">
        <f>COUNTIFS('Read-Unread Visibility'!$C$2:$C$2000,"&gt;="&amp;DATE(2024,7,1),'Read-Unread Visibility'!$C$2:$C$2000,"&lt;="&amp;DATE(2024,9,30))</f>
        <v>0</v>
      </c>
      <c r="L8" s="14">
        <f>COUNTIFS('Read-Unread Visibility'!$C$2:$C$2000,"&gt;="&amp;DATE(2024,4,1),'Read-Unread Visibility'!$C$2:$C$2000,"&lt;="&amp;DATE(2024,6,30))</f>
        <v>0</v>
      </c>
      <c r="M8" s="14">
        <f>COUNTIFS('Read-Unread Visibility'!$C$2:$C$2000,"&gt;="&amp;DATE(2024,1,1),'Read-Unread Visibility'!$C$2:$C$2000,"&lt;="&amp;DATE(2024,3,31))</f>
        <v>0</v>
      </c>
      <c r="N8" s="14">
        <f>COUNTIFS('Read-Unread Visibility'!$C$2:$C$2000,"&gt;="&amp;DATE(2023,10,1),'Read-Unread Visibility'!$C$2:$C$2000,"&lt;="&amp;DATE(2023,12,31))</f>
        <v>0</v>
      </c>
      <c r="O8" s="14">
        <f>COUNTIFS('Read-Unread Visibility'!$C$2:$C$2000,"&gt;="&amp;DATE(2023,7,1),'Read-Unread Visibility'!$C$2:$C$2000,"&lt;="&amp;DATE(2023,9,30))</f>
        <v>0</v>
      </c>
      <c r="P8" s="14">
        <f>COUNTIFS('Read-Unread Visibility'!$C$2:$C$2000,"&gt;="&amp;DATE(2023,4,1),'Read-Unread Visibility'!$C$2:$C$2000,"&lt;="&amp;DATE(2023,6,30))</f>
        <v>0</v>
      </c>
      <c r="Q8" s="14">
        <f>COUNTIFS('Read-Unread Visibility'!$C$2:$C$2000,"&gt;="&amp;DATE(2023,1,1),'Read-Unread Visibility'!$C$2:$C$2000,"&lt;="&amp;DATE(2023,3,31))</f>
        <v>0</v>
      </c>
      <c r="R8" s="14">
        <f>COUNTIFS('Read-Unread Visibility'!$C$2:$C$2000,"&gt;="&amp;DATE(2022,10,1),'Read-Unread Visibility'!$C$2:$C$2000,"&lt;="&amp;DATE(2022,12,31))</f>
        <v>0</v>
      </c>
      <c r="S8" s="14">
        <f>COUNTIFS('Read-Unread Visibility'!$C$2:$C$2000,"&gt;="&amp;DATE(2022,7,1),'Read-Unread Visibility'!$C$2:$C$2000,"&lt;="&amp;DATE(2022,9,30))</f>
        <v>0</v>
      </c>
      <c r="T8" s="14">
        <f>COUNTIFS('Read-Unread Visibility'!$C$2:$C$2000,"&gt;="&amp;DATE(2022,4,1),'Read-Unread Visibility'!$C$2:$C$2000,"&lt;="&amp;DATE(2022,6,30))</f>
        <v>0</v>
      </c>
      <c r="U8" s="14">
        <f>COUNTIFS('Read-Unread Visibility'!$C$2:$C$2000,"&gt;="&amp;DATE(2022,1,1),'Read-Unread Visibility'!$C$2:$C$2000,"&lt;="&amp;DATE(2022,3,31))</f>
        <v>0</v>
      </c>
      <c r="V8" s="14">
        <f>COUNTIFS('Read-Unread Visibility'!$C$2:$C$2000,"&gt;="&amp;DATE(2021,10,1),'Read-Unread Visibility'!$C$2:$C$2000,"&lt;="&amp;DATE(2021,12,31))</f>
        <v>0</v>
      </c>
      <c r="W8" s="14">
        <f>COUNTIFS('Read-Unread Visibility'!$C$2:$C$2000,"&gt;="&amp;DATE(2021,7,1),'Read-Unread Visibility'!$C$2:$C$2000,"&lt;="&amp;DATE(2021,9,30))</f>
        <v>0</v>
      </c>
      <c r="X8" s="14">
        <f>COUNTIFS('Read-Unread Visibility'!$C$2:$C$2000,"&gt;="&amp;DATE(2021,4,1),'Read-Unread Visibility'!$C$2:$C$2000,"&lt;="&amp;DATE(2021,6,30))</f>
        <v>0</v>
      </c>
      <c r="Y8" s="14">
        <f>COUNTIFS('Read-Unread Visibility'!$C$2:$C$2000,"&gt;="&amp;DATE(2021,1,1),'Read-Unread Visibility'!$C$2:$C$2000,"&lt;="&amp;DATE(2021,3,31))</f>
        <v>0</v>
      </c>
      <c r="Z8" s="14">
        <f>COUNTIFS('Read-Unread Visibility'!$C$2:$C$2000,"&gt;="&amp;DATE(2020,10,1),'Read-Unread Visibility'!$C$2:$C$2000,"&lt;="&amp;DATE(2020,12,31))</f>
        <v>0</v>
      </c>
    </row>
    <row r="9">
      <c r="A9" s="10" t="s">
        <v>225</v>
      </c>
      <c r="B9" s="10" t="s">
        <v>227</v>
      </c>
      <c r="C9" s="14">
        <f>COUNTIFS('Mark Message Unread'!$C$2:$C$2000,"&gt;="&amp;DATE(2026,7,1),'Mark Message Unread'!$C$2:$C$2000,"&lt;="&amp;DATE(2026,9,30))</f>
        <v>0</v>
      </c>
      <c r="D9" s="14">
        <f>COUNTIFS('Mark Message Unread'!$C$2:$C$2000,"&gt;="&amp;DATE(2026,4,1),'Mark Message Unread'!$C$2:$C$2000,"&lt;="&amp;DATE(2026,6,30))</f>
        <v>0</v>
      </c>
      <c r="E9" s="14">
        <f>COUNTIFS('Mark Message Unread'!$C$2:$C$2000,"&gt;="&amp;DATE(2026,1,1),'Mark Message Unread'!$C$2:$C$2000,"&lt;="&amp;DATE(2026,3,31))</f>
        <v>1</v>
      </c>
      <c r="F9" s="14">
        <f>COUNTIFS('Mark Message Unread'!$C$2:$C$2000,"&gt;="&amp;DATE(2025,10,1),'Mark Message Unread'!$C$2:$C$2000,"&lt;="&amp;DATE(2025,12,31))</f>
        <v>1</v>
      </c>
      <c r="G9" s="14">
        <f>COUNTIFS('Mark Message Unread'!$C$2:$C$2000,"&gt;="&amp;DATE(2025,7,1),'Mark Message Unread'!$C$2:$C$2000,"&lt;="&amp;DATE(2025,9,30))</f>
        <v>0</v>
      </c>
      <c r="H9" s="14">
        <f>COUNTIFS('Mark Message Unread'!$C$2:$C$2000,"&gt;="&amp;DATE(2025,4,1),'Mark Message Unread'!$C$2:$C$2000,"&lt;="&amp;DATE(2025,6,30))</f>
        <v>0</v>
      </c>
      <c r="I9" s="14">
        <f>COUNTIFS('Mark Message Unread'!$C$2:$C$2000,"&gt;="&amp;DATE(2025,1,1),'Mark Message Unread'!$C$2:$C$2000,"&lt;="&amp;DATE(2025,3,31))</f>
        <v>0</v>
      </c>
      <c r="J9" s="14">
        <f>COUNTIFS('Mark Message Unread'!$C$2:$C$2000,"&gt;="&amp;DATE(2024,10,1),'Mark Message Unread'!$C$2:$C$2000,"&lt;="&amp;DATE(2024,12,31))</f>
        <v>0</v>
      </c>
      <c r="K9" s="14">
        <f>COUNTIFS('Mark Message Unread'!$C$2:$C$2000,"&gt;="&amp;DATE(2024,7,1),'Mark Message Unread'!$C$2:$C$2000,"&lt;="&amp;DATE(2024,9,30))</f>
        <v>0</v>
      </c>
      <c r="L9" s="14">
        <f>COUNTIFS('Mark Message Unread'!$C$2:$C$2000,"&gt;="&amp;DATE(2024,4,1),'Mark Message Unread'!$C$2:$C$2000,"&lt;="&amp;DATE(2024,6,30))</f>
        <v>0</v>
      </c>
      <c r="M9" s="14">
        <f>COUNTIFS('Mark Message Unread'!$C$2:$C$2000,"&gt;="&amp;DATE(2024,1,1),'Mark Message Unread'!$C$2:$C$2000,"&lt;="&amp;DATE(2024,3,31))</f>
        <v>0</v>
      </c>
      <c r="N9" s="14">
        <f>COUNTIFS('Mark Message Unread'!$C$2:$C$2000,"&gt;="&amp;DATE(2023,10,1),'Mark Message Unread'!$C$2:$C$2000,"&lt;="&amp;DATE(2023,12,31))</f>
        <v>0</v>
      </c>
      <c r="O9" s="14">
        <f>COUNTIFS('Mark Message Unread'!$C$2:$C$2000,"&gt;="&amp;DATE(2023,7,1),'Mark Message Unread'!$C$2:$C$2000,"&lt;="&amp;DATE(2023,9,30))</f>
        <v>0</v>
      </c>
      <c r="P9" s="14">
        <f>COUNTIFS('Mark Message Unread'!$C$2:$C$2000,"&gt;="&amp;DATE(2023,4,1),'Mark Message Unread'!$C$2:$C$2000,"&lt;="&amp;DATE(2023,6,30))</f>
        <v>0</v>
      </c>
      <c r="Q9" s="14">
        <f>COUNTIFS('Mark Message Unread'!$C$2:$C$2000,"&gt;="&amp;DATE(2023,1,1),'Mark Message Unread'!$C$2:$C$2000,"&lt;="&amp;DATE(2023,3,31))</f>
        <v>0</v>
      </c>
      <c r="R9" s="14">
        <f>COUNTIFS('Mark Message Unread'!$C$2:$C$2000,"&gt;="&amp;DATE(2022,10,1),'Mark Message Unread'!$C$2:$C$2000,"&lt;="&amp;DATE(2022,12,31))</f>
        <v>0</v>
      </c>
      <c r="S9" s="14">
        <f>COUNTIFS('Mark Message Unread'!$C$2:$C$2000,"&gt;="&amp;DATE(2022,7,1),'Mark Message Unread'!$C$2:$C$2000,"&lt;="&amp;DATE(2022,9,30))</f>
        <v>1</v>
      </c>
      <c r="T9" s="14">
        <f>COUNTIFS('Mark Message Unread'!$C$2:$C$2000,"&gt;="&amp;DATE(2022,4,1),'Mark Message Unread'!$C$2:$C$2000,"&lt;="&amp;DATE(2022,6,30))</f>
        <v>0</v>
      </c>
      <c r="U9" s="14">
        <f>COUNTIFS('Mark Message Unread'!$C$2:$C$2000,"&gt;="&amp;DATE(2022,1,1),'Mark Message Unread'!$C$2:$C$2000,"&lt;="&amp;DATE(2022,3,31))</f>
        <v>0</v>
      </c>
      <c r="V9" s="14">
        <f>COUNTIFS('Mark Message Unread'!$C$2:$C$2000,"&gt;="&amp;DATE(2021,10,1),'Mark Message Unread'!$C$2:$C$2000,"&lt;="&amp;DATE(2021,12,31))</f>
        <v>0</v>
      </c>
      <c r="W9" s="14">
        <f>COUNTIFS('Mark Message Unread'!$C$2:$C$2000,"&gt;="&amp;DATE(2021,7,1),'Mark Message Unread'!$C$2:$C$2000,"&lt;="&amp;DATE(2021,9,30))</f>
        <v>0</v>
      </c>
      <c r="X9" s="14">
        <f>COUNTIFS('Mark Message Unread'!$C$2:$C$2000,"&gt;="&amp;DATE(2021,4,1),'Mark Message Unread'!$C$2:$C$2000,"&lt;="&amp;DATE(2021,6,30))</f>
        <v>0</v>
      </c>
      <c r="Y9" s="14">
        <f>COUNTIFS('Mark Message Unread'!$C$2:$C$2000,"&gt;="&amp;DATE(2021,1,1),'Mark Message Unread'!$C$2:$C$2000,"&lt;="&amp;DATE(2021,3,31))</f>
        <v>0</v>
      </c>
      <c r="Z9" s="14">
        <f>COUNTIFS('Mark Message Unread'!$C$2:$C$2000,"&gt;="&amp;DATE(2020,10,1),'Mark Message Unread'!$C$2:$C$2000,"&lt;="&amp;DATE(2020,12,31))</f>
        <v>0</v>
      </c>
    </row>
    <row r="10">
      <c r="A10" s="10" t="s">
        <v>238</v>
      </c>
      <c r="B10" s="10" t="s">
        <v>242</v>
      </c>
      <c r="C10" s="14">
        <f>COUNTIFS('Disable Conversation'!$C$2:$C$2000,"&gt;="&amp;DATE(2026,7,1),'Disable Conversation'!$C$2:$C$2000,"&lt;="&amp;DATE(2026,9,30))</f>
        <v>0</v>
      </c>
      <c r="D10" s="14">
        <f>COUNTIFS('Disable Conversation'!$C$2:$C$2000,"&gt;="&amp;DATE(2026,4,1),'Disable Conversation'!$C$2:$C$2000,"&lt;="&amp;DATE(2026,6,30))</f>
        <v>4</v>
      </c>
      <c r="E10" s="14">
        <f>COUNTIFS('Disable Conversation'!$C$2:$C$2000,"&gt;="&amp;DATE(2026,1,1),'Disable Conversation'!$C$2:$C$2000,"&lt;="&amp;DATE(2026,3,31))</f>
        <v>3</v>
      </c>
      <c r="F10" s="14">
        <f>COUNTIFS('Disable Conversation'!$C$2:$C$2000,"&gt;="&amp;DATE(2025,10,1),'Disable Conversation'!$C$2:$C$2000,"&lt;="&amp;DATE(2025,12,31))</f>
        <v>1</v>
      </c>
      <c r="G10" s="14">
        <f>COUNTIFS('Disable Conversation'!$C$2:$C$2000,"&gt;="&amp;DATE(2025,7,1),'Disable Conversation'!$C$2:$C$2000,"&lt;="&amp;DATE(2025,9,30))</f>
        <v>2</v>
      </c>
      <c r="H10" s="14">
        <f>COUNTIFS('Disable Conversation'!$C$2:$C$2000,"&gt;="&amp;DATE(2025,4,1),'Disable Conversation'!$C$2:$C$2000,"&lt;="&amp;DATE(2025,6,30))</f>
        <v>5</v>
      </c>
      <c r="I10" s="14">
        <f>COUNTIFS('Disable Conversation'!$C$2:$C$2000,"&gt;="&amp;DATE(2025,1,1),'Disable Conversation'!$C$2:$C$2000,"&lt;="&amp;DATE(2025,3,31))</f>
        <v>2</v>
      </c>
      <c r="J10" s="14">
        <f>COUNTIFS('Disable Conversation'!$C$2:$C$2000,"&gt;="&amp;DATE(2024,10,1),'Disable Conversation'!$C$2:$C$2000,"&lt;="&amp;DATE(2024,12,31))</f>
        <v>4</v>
      </c>
      <c r="K10" s="14">
        <f>COUNTIFS('Disable Conversation'!$C$2:$C$2000,"&gt;="&amp;DATE(2024,7,1),'Disable Conversation'!$C$2:$C$2000,"&lt;="&amp;DATE(2024,9,30))</f>
        <v>4</v>
      </c>
      <c r="L10" s="14">
        <f>COUNTIFS('Disable Conversation'!$C$2:$C$2000,"&gt;="&amp;DATE(2024,4,1),'Disable Conversation'!$C$2:$C$2000,"&lt;="&amp;DATE(2024,6,30))</f>
        <v>4</v>
      </c>
      <c r="M10" s="14">
        <f>COUNTIFS('Disable Conversation'!$C$2:$C$2000,"&gt;="&amp;DATE(2024,1,1),'Disable Conversation'!$C$2:$C$2000,"&lt;="&amp;DATE(2024,3,31))</f>
        <v>4</v>
      </c>
      <c r="N10" s="14">
        <f>COUNTIFS('Disable Conversation'!$C$2:$C$2000,"&gt;="&amp;DATE(2023,10,1),'Disable Conversation'!$C$2:$C$2000,"&lt;="&amp;DATE(2023,12,31))</f>
        <v>6</v>
      </c>
      <c r="O10" s="14">
        <f>COUNTIFS('Disable Conversation'!$C$2:$C$2000,"&gt;="&amp;DATE(2023,7,1),'Disable Conversation'!$C$2:$C$2000,"&lt;="&amp;DATE(2023,9,30))</f>
        <v>5</v>
      </c>
      <c r="P10" s="14">
        <f>COUNTIFS('Disable Conversation'!$C$2:$C$2000,"&gt;="&amp;DATE(2023,4,1),'Disable Conversation'!$C$2:$C$2000,"&lt;="&amp;DATE(2023,6,30))</f>
        <v>8</v>
      </c>
      <c r="Q10" s="14">
        <f>COUNTIFS('Disable Conversation'!$C$2:$C$2000,"&gt;="&amp;DATE(2023,1,1),'Disable Conversation'!$C$2:$C$2000,"&lt;="&amp;DATE(2023,3,31))</f>
        <v>12</v>
      </c>
      <c r="R10" s="14">
        <f>COUNTIFS('Disable Conversation'!$C$2:$C$2000,"&gt;="&amp;DATE(2022,10,1),'Disable Conversation'!$C$2:$C$2000,"&lt;="&amp;DATE(2022,12,31))</f>
        <v>11</v>
      </c>
      <c r="S10" s="14">
        <f>COUNTIFS('Disable Conversation'!$C$2:$C$2000,"&gt;="&amp;DATE(2022,7,1),'Disable Conversation'!$C$2:$C$2000,"&lt;="&amp;DATE(2022,9,30))</f>
        <v>29</v>
      </c>
      <c r="T10" s="14">
        <f>COUNTIFS('Disable Conversation'!$C$2:$C$2000,"&gt;="&amp;DATE(2022,4,1),'Disable Conversation'!$C$2:$C$2000,"&lt;="&amp;DATE(2022,6,30))</f>
        <v>20</v>
      </c>
      <c r="U10" s="14">
        <f>COUNTIFS('Disable Conversation'!$C$2:$C$2000,"&gt;="&amp;DATE(2022,1,1),'Disable Conversation'!$C$2:$C$2000,"&lt;="&amp;DATE(2022,3,31))</f>
        <v>18</v>
      </c>
      <c r="V10" s="14">
        <f>COUNTIFS('Disable Conversation'!$C$2:$C$2000,"&gt;="&amp;DATE(2021,10,1),'Disable Conversation'!$C$2:$C$2000,"&lt;="&amp;DATE(2021,12,31))</f>
        <v>19</v>
      </c>
      <c r="W10" s="14">
        <f>COUNTIFS('Disable Conversation'!$C$2:$C$2000,"&gt;="&amp;DATE(2021,7,1),'Disable Conversation'!$C$2:$C$2000,"&lt;="&amp;DATE(2021,9,30))</f>
        <v>15</v>
      </c>
      <c r="X10" s="14">
        <f>COUNTIFS('Disable Conversation'!$C$2:$C$2000,"&gt;="&amp;DATE(2021,4,1),'Disable Conversation'!$C$2:$C$2000,"&lt;="&amp;DATE(2021,6,30))</f>
        <v>15</v>
      </c>
      <c r="Y10" s="14">
        <f>COUNTIFS('Disable Conversation'!$C$2:$C$2000,"&gt;="&amp;DATE(2021,1,1),'Disable Conversation'!$C$2:$C$2000,"&lt;="&amp;DATE(2021,3,31))</f>
        <v>3</v>
      </c>
      <c r="Z10" s="14">
        <f>COUNTIFS('Disable Conversation'!$C$2:$C$2000,"&gt;="&amp;DATE(2020,10,1),'Disable Conversation'!$C$2:$C$2000,"&lt;="&amp;DATE(2020,12,31))</f>
        <v>3</v>
      </c>
    </row>
    <row r="11">
      <c r="A11" s="10" t="s">
        <v>238</v>
      </c>
      <c r="B11" s="10" t="s">
        <v>267</v>
      </c>
      <c r="C11" s="14">
        <f>COUNTIFS('Separate Branches'!$C$2:$C$2000,"&gt;="&amp;DATE(2026,7,1),'Separate Branches'!$C$2:$C$2000,"&lt;="&amp;DATE(2026,9,30))</f>
        <v>2</v>
      </c>
      <c r="D11" s="14">
        <f>COUNTIFS('Separate Branches'!$C$2:$C$2000,"&gt;="&amp;DATE(2026,4,1),'Separate Branches'!$C$2:$C$2000,"&lt;="&amp;DATE(2026,6,30))</f>
        <v>2</v>
      </c>
      <c r="E11" s="14">
        <f>COUNTIFS('Separate Branches'!$C$2:$C$2000,"&gt;="&amp;DATE(2026,1,1),'Separate Branches'!$C$2:$C$2000,"&lt;="&amp;DATE(2026,3,31))</f>
        <v>2</v>
      </c>
      <c r="F11" s="14">
        <f>COUNTIFS('Separate Branches'!$C$2:$C$2000,"&gt;="&amp;DATE(2025,10,1),'Separate Branches'!$C$2:$C$2000,"&lt;="&amp;DATE(2025,12,31))</f>
        <v>1</v>
      </c>
      <c r="G11" s="14">
        <f>COUNTIFS('Separate Branches'!$C$2:$C$2000,"&gt;="&amp;DATE(2025,7,1),'Separate Branches'!$C$2:$C$2000,"&lt;="&amp;DATE(2025,9,30))</f>
        <v>1</v>
      </c>
      <c r="H11" s="14">
        <f>COUNTIFS('Separate Branches'!$C$2:$C$2000,"&gt;="&amp;DATE(2025,4,1),'Separate Branches'!$C$2:$C$2000,"&lt;="&amp;DATE(2025,6,30))</f>
        <v>1</v>
      </c>
      <c r="I11" s="14">
        <f>COUNTIFS('Separate Branches'!$C$2:$C$2000,"&gt;="&amp;DATE(2025,1,1),'Separate Branches'!$C$2:$C$2000,"&lt;="&amp;DATE(2025,3,31))</f>
        <v>1</v>
      </c>
      <c r="J11" s="14">
        <f>COUNTIFS('Separate Branches'!$C$2:$C$2000,"&gt;="&amp;DATE(2024,10,1),'Separate Branches'!$C$2:$C$2000,"&lt;="&amp;DATE(2024,12,31))</f>
        <v>1</v>
      </c>
      <c r="K11" s="14">
        <f>COUNTIFS('Separate Branches'!$C$2:$C$2000,"&gt;="&amp;DATE(2024,7,1),'Separate Branches'!$C$2:$C$2000,"&lt;="&amp;DATE(2024,9,30))</f>
        <v>1</v>
      </c>
      <c r="L11" s="14">
        <f>COUNTIFS('Separate Branches'!$C$2:$C$2000,"&gt;="&amp;DATE(2024,4,1),'Separate Branches'!$C$2:$C$2000,"&lt;="&amp;DATE(2024,6,30))</f>
        <v>0</v>
      </c>
      <c r="M11" s="14">
        <f>COUNTIFS('Separate Branches'!$C$2:$C$2000,"&gt;="&amp;DATE(2024,1,1),'Separate Branches'!$C$2:$C$2000,"&lt;="&amp;DATE(2024,3,31))</f>
        <v>1</v>
      </c>
      <c r="N11" s="14">
        <f>COUNTIFS('Separate Branches'!$C$2:$C$2000,"&gt;="&amp;DATE(2023,10,1),'Separate Branches'!$C$2:$C$2000,"&lt;="&amp;DATE(2023,12,31))</f>
        <v>0</v>
      </c>
      <c r="O11" s="14">
        <f>COUNTIFS('Separate Branches'!$C$2:$C$2000,"&gt;="&amp;DATE(2023,7,1),'Separate Branches'!$C$2:$C$2000,"&lt;="&amp;DATE(2023,9,30))</f>
        <v>1</v>
      </c>
      <c r="P11" s="14">
        <f>COUNTIFS('Separate Branches'!$C$2:$C$2000,"&gt;="&amp;DATE(2023,4,1),'Separate Branches'!$C$2:$C$2000,"&lt;="&amp;DATE(2023,6,30))</f>
        <v>0</v>
      </c>
      <c r="Q11" s="14">
        <f>COUNTIFS('Separate Branches'!$C$2:$C$2000,"&gt;="&amp;DATE(2023,1,1),'Separate Branches'!$C$2:$C$2000,"&lt;="&amp;DATE(2023,3,31))</f>
        <v>0</v>
      </c>
      <c r="R11" s="14">
        <f>COUNTIFS('Separate Branches'!$C$2:$C$2000,"&gt;="&amp;DATE(2022,10,1),'Separate Branches'!$C$2:$C$2000,"&lt;="&amp;DATE(2022,12,31))</f>
        <v>1</v>
      </c>
      <c r="S11" s="14">
        <f>COUNTIFS('Separate Branches'!$C$2:$C$2000,"&gt;="&amp;DATE(2022,7,1),'Separate Branches'!$C$2:$C$2000,"&lt;="&amp;DATE(2022,9,30))</f>
        <v>0</v>
      </c>
      <c r="T11" s="14">
        <f>COUNTIFS('Separate Branches'!$C$2:$C$2000,"&gt;="&amp;DATE(2022,4,1),'Separate Branches'!$C$2:$C$2000,"&lt;="&amp;DATE(2022,6,30))</f>
        <v>2</v>
      </c>
      <c r="U11" s="14">
        <f>COUNTIFS('Separate Branches'!$C$2:$C$2000,"&gt;="&amp;DATE(2022,1,1),'Separate Branches'!$C$2:$C$2000,"&lt;="&amp;DATE(2022,3,31))</f>
        <v>2</v>
      </c>
      <c r="V11" s="14">
        <f>COUNTIFS('Separate Branches'!$C$2:$C$2000,"&gt;="&amp;DATE(2021,10,1),'Separate Branches'!$C$2:$C$2000,"&lt;="&amp;DATE(2021,12,31))</f>
        <v>0</v>
      </c>
      <c r="W11" s="14">
        <f>COUNTIFS('Separate Branches'!$C$2:$C$2000,"&gt;="&amp;DATE(2021,7,1),'Separate Branches'!$C$2:$C$2000,"&lt;="&amp;DATE(2021,9,30))</f>
        <v>1</v>
      </c>
      <c r="X11" s="14">
        <f>COUNTIFS('Separate Branches'!$C$2:$C$2000,"&gt;="&amp;DATE(2021,4,1),'Separate Branches'!$C$2:$C$2000,"&lt;="&amp;DATE(2021,6,30))</f>
        <v>1</v>
      </c>
      <c r="Y11" s="14">
        <f>COUNTIFS('Separate Branches'!$C$2:$C$2000,"&gt;="&amp;DATE(2021,1,1),'Separate Branches'!$C$2:$C$2000,"&lt;="&amp;DATE(2021,3,31))</f>
        <v>2</v>
      </c>
      <c r="Z11" s="14">
        <f>COUNTIFS('Separate Branches'!$C$2:$C$2000,"&gt;="&amp;DATE(2020,10,1),'Separate Branches'!$C$2:$C$2000,"&lt;="&amp;DATE(2020,12,31))</f>
        <v>0</v>
      </c>
    </row>
    <row r="12">
      <c r="A12" s="10" t="s">
        <v>279</v>
      </c>
      <c r="B12" s="10" t="s">
        <v>280</v>
      </c>
      <c r="C12" s="14">
        <f>COUNTIFS('Quoted Readability'!$C$2:$C$2000,"&gt;="&amp;DATE(2026,7,1),'Quoted Readability'!$C$2:$C$2000,"&lt;="&amp;DATE(2026,9,30))</f>
        <v>2</v>
      </c>
      <c r="D12" s="14">
        <f>COUNTIFS('Quoted Readability'!$C$2:$C$2000,"&gt;="&amp;DATE(2026,4,1),'Quoted Readability'!$C$2:$C$2000,"&lt;="&amp;DATE(2026,6,30))</f>
        <v>2</v>
      </c>
      <c r="E12" s="14">
        <f>COUNTIFS('Quoted Readability'!$C$2:$C$2000,"&gt;="&amp;DATE(2026,1,1),'Quoted Readability'!$C$2:$C$2000,"&lt;="&amp;DATE(2026,3,31))</f>
        <v>1</v>
      </c>
      <c r="F12" s="14">
        <f>COUNTIFS('Quoted Readability'!$C$2:$C$2000,"&gt;="&amp;DATE(2025,10,1),'Quoted Readability'!$C$2:$C$2000,"&lt;="&amp;DATE(2025,12,31))</f>
        <v>0</v>
      </c>
      <c r="G12" s="14">
        <f>COUNTIFS('Quoted Readability'!$C$2:$C$2000,"&gt;="&amp;DATE(2025,7,1),'Quoted Readability'!$C$2:$C$2000,"&lt;="&amp;DATE(2025,9,30))</f>
        <v>0</v>
      </c>
      <c r="H12" s="14">
        <f>COUNTIFS('Quoted Readability'!$C$2:$C$2000,"&gt;="&amp;DATE(2025,4,1),'Quoted Readability'!$C$2:$C$2000,"&lt;="&amp;DATE(2025,6,30))</f>
        <v>0</v>
      </c>
      <c r="I12" s="14">
        <f>COUNTIFS('Quoted Readability'!$C$2:$C$2000,"&gt;="&amp;DATE(2025,1,1),'Quoted Readability'!$C$2:$C$2000,"&lt;="&amp;DATE(2025,3,31))</f>
        <v>1</v>
      </c>
      <c r="J12" s="14">
        <f>COUNTIFS('Quoted Readability'!$C$2:$C$2000,"&gt;="&amp;DATE(2024,10,1),'Quoted Readability'!$C$2:$C$2000,"&lt;="&amp;DATE(2024,12,31))</f>
        <v>0</v>
      </c>
      <c r="K12" s="14">
        <f>COUNTIFS('Quoted Readability'!$C$2:$C$2000,"&gt;="&amp;DATE(2024,7,1),'Quoted Readability'!$C$2:$C$2000,"&lt;="&amp;DATE(2024,9,30))</f>
        <v>0</v>
      </c>
      <c r="L12" s="14">
        <f>COUNTIFS('Quoted Readability'!$C$2:$C$2000,"&gt;="&amp;DATE(2024,4,1),'Quoted Readability'!$C$2:$C$2000,"&lt;="&amp;DATE(2024,6,30))</f>
        <v>0</v>
      </c>
      <c r="M12" s="14">
        <f>COUNTIFS('Quoted Readability'!$C$2:$C$2000,"&gt;="&amp;DATE(2024,1,1),'Quoted Readability'!$C$2:$C$2000,"&lt;="&amp;DATE(2024,3,31))</f>
        <v>2</v>
      </c>
      <c r="N12" s="14">
        <f>COUNTIFS('Quoted Readability'!$C$2:$C$2000,"&gt;="&amp;DATE(2023,10,1),'Quoted Readability'!$C$2:$C$2000,"&lt;="&amp;DATE(2023,12,31))</f>
        <v>0</v>
      </c>
      <c r="O12" s="14">
        <f>COUNTIFS('Quoted Readability'!$C$2:$C$2000,"&gt;="&amp;DATE(2023,7,1),'Quoted Readability'!$C$2:$C$2000,"&lt;="&amp;DATE(2023,9,30))</f>
        <v>0</v>
      </c>
      <c r="P12" s="14">
        <f>COUNTIFS('Quoted Readability'!$C$2:$C$2000,"&gt;="&amp;DATE(2023,4,1),'Quoted Readability'!$C$2:$C$2000,"&lt;="&amp;DATE(2023,6,30))</f>
        <v>0</v>
      </c>
      <c r="Q12" s="14">
        <f>COUNTIFS('Quoted Readability'!$C$2:$C$2000,"&gt;="&amp;DATE(2023,1,1),'Quoted Readability'!$C$2:$C$2000,"&lt;="&amp;DATE(2023,3,31))</f>
        <v>0</v>
      </c>
      <c r="R12" s="14">
        <f>COUNTIFS('Quoted Readability'!$C$2:$C$2000,"&gt;="&amp;DATE(2022,10,1),'Quoted Readability'!$C$2:$C$2000,"&lt;="&amp;DATE(2022,12,31))</f>
        <v>0</v>
      </c>
      <c r="S12" s="14">
        <f>COUNTIFS('Quoted Readability'!$C$2:$C$2000,"&gt;="&amp;DATE(2022,7,1),'Quoted Readability'!$C$2:$C$2000,"&lt;="&amp;DATE(2022,9,30))</f>
        <v>0</v>
      </c>
      <c r="T12" s="14">
        <f>COUNTIFS('Quoted Readability'!$C$2:$C$2000,"&gt;="&amp;DATE(2022,4,1),'Quoted Readability'!$C$2:$C$2000,"&lt;="&amp;DATE(2022,6,30))</f>
        <v>1</v>
      </c>
      <c r="U12" s="14">
        <f>COUNTIFS('Quoted Readability'!$C$2:$C$2000,"&gt;="&amp;DATE(2022,1,1),'Quoted Readability'!$C$2:$C$2000,"&lt;="&amp;DATE(2022,3,31))</f>
        <v>0</v>
      </c>
      <c r="V12" s="14">
        <f>COUNTIFS('Quoted Readability'!$C$2:$C$2000,"&gt;="&amp;DATE(2021,10,1),'Quoted Readability'!$C$2:$C$2000,"&lt;="&amp;DATE(2021,12,31))</f>
        <v>0</v>
      </c>
      <c r="W12" s="14">
        <f>COUNTIFS('Quoted Readability'!$C$2:$C$2000,"&gt;="&amp;DATE(2021,7,1),'Quoted Readability'!$C$2:$C$2000,"&lt;="&amp;DATE(2021,9,30))</f>
        <v>0</v>
      </c>
      <c r="X12" s="14">
        <f>COUNTIFS('Quoted Readability'!$C$2:$C$2000,"&gt;="&amp;DATE(2021,4,1),'Quoted Readability'!$C$2:$C$2000,"&lt;="&amp;DATE(2021,6,30))</f>
        <v>0</v>
      </c>
      <c r="Y12" s="14">
        <f>COUNTIFS('Quoted Readability'!$C$2:$C$2000,"&gt;="&amp;DATE(2021,1,1),'Quoted Readability'!$C$2:$C$2000,"&lt;="&amp;DATE(2021,3,31))</f>
        <v>0</v>
      </c>
      <c r="Z12" s="14">
        <f>COUNTIFS('Quoted Readability'!$C$2:$C$2000,"&gt;="&amp;DATE(2020,10,1),'Quoted Readability'!$C$2:$C$2000,"&lt;="&amp;DATE(2020,12,31))</f>
        <v>0</v>
      </c>
    </row>
    <row r="13">
      <c r="A13" s="10" t="s">
        <v>289</v>
      </c>
      <c r="B13" s="10" t="s">
        <v>290</v>
      </c>
      <c r="C13" s="14">
        <f>COUNTIFS('Attachment Discovery'!$C$2:$C$2000,"&gt;="&amp;DATE(2026,7,1),'Attachment Discovery'!$C$2:$C$2000,"&lt;="&amp;DATE(2026,9,30))</f>
        <v>0</v>
      </c>
      <c r="D13" s="14">
        <f>COUNTIFS('Attachment Discovery'!$C$2:$C$2000,"&gt;="&amp;DATE(2026,4,1),'Attachment Discovery'!$C$2:$C$2000,"&lt;="&amp;DATE(2026,6,30))</f>
        <v>4</v>
      </c>
      <c r="E13" s="14">
        <f>COUNTIFS('Attachment Discovery'!$C$2:$C$2000,"&gt;="&amp;DATE(2026,1,1),'Attachment Discovery'!$C$2:$C$2000,"&lt;="&amp;DATE(2026,3,31))</f>
        <v>1</v>
      </c>
      <c r="F13" s="14">
        <f>COUNTIFS('Attachment Discovery'!$C$2:$C$2000,"&gt;="&amp;DATE(2025,10,1),'Attachment Discovery'!$C$2:$C$2000,"&lt;="&amp;DATE(2025,12,31))</f>
        <v>1</v>
      </c>
      <c r="G13" s="14">
        <f>COUNTIFS('Attachment Discovery'!$C$2:$C$2000,"&gt;="&amp;DATE(2025,7,1),'Attachment Discovery'!$C$2:$C$2000,"&lt;="&amp;DATE(2025,9,30))</f>
        <v>2</v>
      </c>
      <c r="H13" s="14">
        <f>COUNTIFS('Attachment Discovery'!$C$2:$C$2000,"&gt;="&amp;DATE(2025,4,1),'Attachment Discovery'!$C$2:$C$2000,"&lt;="&amp;DATE(2025,6,30))</f>
        <v>1</v>
      </c>
      <c r="I13" s="14">
        <f>COUNTIFS('Attachment Discovery'!$C$2:$C$2000,"&gt;="&amp;DATE(2025,1,1),'Attachment Discovery'!$C$2:$C$2000,"&lt;="&amp;DATE(2025,3,31))</f>
        <v>1</v>
      </c>
      <c r="J13" s="14">
        <f>COUNTIFS('Attachment Discovery'!$C$2:$C$2000,"&gt;="&amp;DATE(2024,10,1),'Attachment Discovery'!$C$2:$C$2000,"&lt;="&amp;DATE(2024,12,31))</f>
        <v>1</v>
      </c>
      <c r="K13" s="14">
        <f>COUNTIFS('Attachment Discovery'!$C$2:$C$2000,"&gt;="&amp;DATE(2024,7,1),'Attachment Discovery'!$C$2:$C$2000,"&lt;="&amp;DATE(2024,9,30))</f>
        <v>0</v>
      </c>
      <c r="L13" s="14">
        <f>COUNTIFS('Attachment Discovery'!$C$2:$C$2000,"&gt;="&amp;DATE(2024,4,1),'Attachment Discovery'!$C$2:$C$2000,"&lt;="&amp;DATE(2024,6,30))</f>
        <v>2</v>
      </c>
      <c r="M13" s="14">
        <f>COUNTIFS('Attachment Discovery'!$C$2:$C$2000,"&gt;="&amp;DATE(2024,1,1),'Attachment Discovery'!$C$2:$C$2000,"&lt;="&amp;DATE(2024,3,31))</f>
        <v>2</v>
      </c>
      <c r="N13" s="14">
        <f>COUNTIFS('Attachment Discovery'!$C$2:$C$2000,"&gt;="&amp;DATE(2023,10,1),'Attachment Discovery'!$C$2:$C$2000,"&lt;="&amp;DATE(2023,12,31))</f>
        <v>1</v>
      </c>
      <c r="O13" s="14">
        <f>COUNTIFS('Attachment Discovery'!$C$2:$C$2000,"&gt;="&amp;DATE(2023,7,1),'Attachment Discovery'!$C$2:$C$2000,"&lt;="&amp;DATE(2023,9,30))</f>
        <v>2</v>
      </c>
      <c r="P13" s="14">
        <f>COUNTIFS('Attachment Discovery'!$C$2:$C$2000,"&gt;="&amp;DATE(2023,4,1),'Attachment Discovery'!$C$2:$C$2000,"&lt;="&amp;DATE(2023,6,30))</f>
        <v>0</v>
      </c>
      <c r="Q13" s="14">
        <f>COUNTIFS('Attachment Discovery'!$C$2:$C$2000,"&gt;="&amp;DATE(2023,1,1),'Attachment Discovery'!$C$2:$C$2000,"&lt;="&amp;DATE(2023,3,31))</f>
        <v>3</v>
      </c>
      <c r="R13" s="14">
        <f>COUNTIFS('Attachment Discovery'!$C$2:$C$2000,"&gt;="&amp;DATE(2022,10,1),'Attachment Discovery'!$C$2:$C$2000,"&lt;="&amp;DATE(2022,12,31))</f>
        <v>1</v>
      </c>
      <c r="S13" s="14">
        <f>COUNTIFS('Attachment Discovery'!$C$2:$C$2000,"&gt;="&amp;DATE(2022,7,1),'Attachment Discovery'!$C$2:$C$2000,"&lt;="&amp;DATE(2022,9,30))</f>
        <v>3</v>
      </c>
      <c r="T13" s="14">
        <f>COUNTIFS('Attachment Discovery'!$C$2:$C$2000,"&gt;="&amp;DATE(2022,4,1),'Attachment Discovery'!$C$2:$C$2000,"&lt;="&amp;DATE(2022,6,30))</f>
        <v>2</v>
      </c>
      <c r="U13" s="14">
        <f>COUNTIFS('Attachment Discovery'!$C$2:$C$2000,"&gt;="&amp;DATE(2022,1,1),'Attachment Discovery'!$C$2:$C$2000,"&lt;="&amp;DATE(2022,3,31))</f>
        <v>1</v>
      </c>
      <c r="V13" s="14">
        <f>COUNTIFS('Attachment Discovery'!$C$2:$C$2000,"&gt;="&amp;DATE(2021,10,1),'Attachment Discovery'!$C$2:$C$2000,"&lt;="&amp;DATE(2021,12,31))</f>
        <v>0</v>
      </c>
      <c r="W13" s="14">
        <f>COUNTIFS('Attachment Discovery'!$C$2:$C$2000,"&gt;="&amp;DATE(2021,7,1),'Attachment Discovery'!$C$2:$C$2000,"&lt;="&amp;DATE(2021,9,30))</f>
        <v>0</v>
      </c>
      <c r="X13" s="14">
        <f>COUNTIFS('Attachment Discovery'!$C$2:$C$2000,"&gt;="&amp;DATE(2021,4,1),'Attachment Discovery'!$C$2:$C$2000,"&lt;="&amp;DATE(2021,6,30))</f>
        <v>0</v>
      </c>
      <c r="Y13" s="14">
        <f>COUNTIFS('Attachment Discovery'!$C$2:$C$2000,"&gt;="&amp;DATE(2021,1,1),'Attachment Discovery'!$C$2:$C$2000,"&lt;="&amp;DATE(2021,3,31))</f>
        <v>1</v>
      </c>
      <c r="Z13" s="14">
        <f>COUNTIFS('Attachment Discovery'!$C$2:$C$2000,"&gt;="&amp;DATE(2020,10,1),'Attachment Discovery'!$C$2:$C$2000,"&lt;="&amp;DATE(2020,12,31))</f>
        <v>0</v>
      </c>
    </row>
    <row r="14">
      <c r="A14" s="10" t="s">
        <v>289</v>
      </c>
      <c r="B14" s="10" t="s">
        <v>294</v>
      </c>
      <c r="C14" s="14">
        <f>COUNTIFS('Attachment Carry-over'!$C$2:$C$2000,"&gt;="&amp;DATE(2026,7,1),'Attachment Carry-over'!$C$2:$C$2000,"&lt;="&amp;DATE(2026,9,30))</f>
        <v>0</v>
      </c>
      <c r="D14" s="14">
        <f>COUNTIFS('Attachment Carry-over'!$C$2:$C$2000,"&gt;="&amp;DATE(2026,4,1),'Attachment Carry-over'!$C$2:$C$2000,"&lt;="&amp;DATE(2026,6,30))</f>
        <v>0</v>
      </c>
      <c r="E14" s="14">
        <f>COUNTIFS('Attachment Carry-over'!$C$2:$C$2000,"&gt;="&amp;DATE(2026,1,1),'Attachment Carry-over'!$C$2:$C$2000,"&lt;="&amp;DATE(2026,3,31))</f>
        <v>0</v>
      </c>
      <c r="F14" s="14">
        <f>COUNTIFS('Attachment Carry-over'!$C$2:$C$2000,"&gt;="&amp;DATE(2025,10,1),'Attachment Carry-over'!$C$2:$C$2000,"&lt;="&amp;DATE(2025,12,31))</f>
        <v>0</v>
      </c>
      <c r="G14" s="14">
        <f>COUNTIFS('Attachment Carry-over'!$C$2:$C$2000,"&gt;="&amp;DATE(2025,7,1),'Attachment Carry-over'!$C$2:$C$2000,"&lt;="&amp;DATE(2025,9,30))</f>
        <v>0</v>
      </c>
      <c r="H14" s="14">
        <f>COUNTIFS('Attachment Carry-over'!$C$2:$C$2000,"&gt;="&amp;DATE(2025,4,1),'Attachment Carry-over'!$C$2:$C$2000,"&lt;="&amp;DATE(2025,6,30))</f>
        <v>0</v>
      </c>
      <c r="I14" s="14">
        <f>COUNTIFS('Attachment Carry-over'!$C$2:$C$2000,"&gt;="&amp;DATE(2025,1,1),'Attachment Carry-over'!$C$2:$C$2000,"&lt;="&amp;DATE(2025,3,31))</f>
        <v>1</v>
      </c>
      <c r="J14" s="14">
        <f>COUNTIFS('Attachment Carry-over'!$C$2:$C$2000,"&gt;="&amp;DATE(2024,10,1),'Attachment Carry-over'!$C$2:$C$2000,"&lt;="&amp;DATE(2024,12,31))</f>
        <v>0</v>
      </c>
      <c r="K14" s="14">
        <f>COUNTIFS('Attachment Carry-over'!$C$2:$C$2000,"&gt;="&amp;DATE(2024,7,1),'Attachment Carry-over'!$C$2:$C$2000,"&lt;="&amp;DATE(2024,9,30))</f>
        <v>0</v>
      </c>
      <c r="L14" s="14">
        <f>COUNTIFS('Attachment Carry-over'!$C$2:$C$2000,"&gt;="&amp;DATE(2024,4,1),'Attachment Carry-over'!$C$2:$C$2000,"&lt;="&amp;DATE(2024,6,30))</f>
        <v>0</v>
      </c>
      <c r="M14" s="14">
        <f>COUNTIFS('Attachment Carry-over'!$C$2:$C$2000,"&gt;="&amp;DATE(2024,1,1),'Attachment Carry-over'!$C$2:$C$2000,"&lt;="&amp;DATE(2024,3,31))</f>
        <v>0</v>
      </c>
      <c r="N14" s="14">
        <f>COUNTIFS('Attachment Carry-over'!$C$2:$C$2000,"&gt;="&amp;DATE(2023,10,1),'Attachment Carry-over'!$C$2:$C$2000,"&lt;="&amp;DATE(2023,12,31))</f>
        <v>0</v>
      </c>
      <c r="O14" s="14">
        <f>COUNTIFS('Attachment Carry-over'!$C$2:$C$2000,"&gt;="&amp;DATE(2023,7,1),'Attachment Carry-over'!$C$2:$C$2000,"&lt;="&amp;DATE(2023,9,30))</f>
        <v>0</v>
      </c>
      <c r="P14" s="14">
        <f>COUNTIFS('Attachment Carry-over'!$C$2:$C$2000,"&gt;="&amp;DATE(2023,4,1),'Attachment Carry-over'!$C$2:$C$2000,"&lt;="&amp;DATE(2023,6,30))</f>
        <v>0</v>
      </c>
      <c r="Q14" s="14">
        <f>COUNTIFS('Attachment Carry-over'!$C$2:$C$2000,"&gt;="&amp;DATE(2023,1,1),'Attachment Carry-over'!$C$2:$C$2000,"&lt;="&amp;DATE(2023,3,31))</f>
        <v>0</v>
      </c>
      <c r="R14" s="14">
        <f>COUNTIFS('Attachment Carry-over'!$C$2:$C$2000,"&gt;="&amp;DATE(2022,10,1),'Attachment Carry-over'!$C$2:$C$2000,"&lt;="&amp;DATE(2022,12,31))</f>
        <v>0</v>
      </c>
      <c r="S14" s="14">
        <f>COUNTIFS('Attachment Carry-over'!$C$2:$C$2000,"&gt;="&amp;DATE(2022,7,1),'Attachment Carry-over'!$C$2:$C$2000,"&lt;="&amp;DATE(2022,9,30))</f>
        <v>0</v>
      </c>
      <c r="T14" s="14">
        <f>COUNTIFS('Attachment Carry-over'!$C$2:$C$2000,"&gt;="&amp;DATE(2022,4,1),'Attachment Carry-over'!$C$2:$C$2000,"&lt;="&amp;DATE(2022,6,30))</f>
        <v>0</v>
      </c>
      <c r="U14" s="14">
        <f>COUNTIFS('Attachment Carry-over'!$C$2:$C$2000,"&gt;="&amp;DATE(2022,1,1),'Attachment Carry-over'!$C$2:$C$2000,"&lt;="&amp;DATE(2022,3,31))</f>
        <v>0</v>
      </c>
      <c r="V14" s="14">
        <f>COUNTIFS('Attachment Carry-over'!$C$2:$C$2000,"&gt;="&amp;DATE(2021,10,1),'Attachment Carry-over'!$C$2:$C$2000,"&lt;="&amp;DATE(2021,12,31))</f>
        <v>0</v>
      </c>
      <c r="W14" s="14">
        <f>COUNTIFS('Attachment Carry-over'!$C$2:$C$2000,"&gt;="&amp;DATE(2021,7,1),'Attachment Carry-over'!$C$2:$C$2000,"&lt;="&amp;DATE(2021,9,30))</f>
        <v>0</v>
      </c>
      <c r="X14" s="14">
        <f>COUNTIFS('Attachment Carry-over'!$C$2:$C$2000,"&gt;="&amp;DATE(2021,4,1),'Attachment Carry-over'!$C$2:$C$2000,"&lt;="&amp;DATE(2021,6,30))</f>
        <v>0</v>
      </c>
      <c r="Y14" s="14">
        <f>COUNTIFS('Attachment Carry-over'!$C$2:$C$2000,"&gt;="&amp;DATE(2021,1,1),'Attachment Carry-over'!$C$2:$C$2000,"&lt;="&amp;DATE(2021,3,31))</f>
        <v>0</v>
      </c>
      <c r="Z14" s="14">
        <f>COUNTIFS('Attachment Carry-over'!$C$2:$C$2000,"&gt;="&amp;DATE(2020,10,1),'Attachment Carry-over'!$C$2:$C$2000,"&lt;="&amp;DATE(2020,12,31))</f>
        <v>0</v>
      </c>
    </row>
    <row r="15">
      <c r="A15" s="10" t="s">
        <v>304</v>
      </c>
      <c r="B15" s="10" t="s">
        <v>307</v>
      </c>
      <c r="C15" s="14">
        <f>COUNTIFS('Message Rendering'!$C$2:$C$2000,"&gt;="&amp;DATE(2026,7,1),'Message Rendering'!$C$2:$C$2000,"&lt;="&amp;DATE(2026,9,30))</f>
        <v>1</v>
      </c>
      <c r="D15" s="14">
        <f>COUNTIFS('Message Rendering'!$C$2:$C$2000,"&gt;="&amp;DATE(2026,4,1),'Message Rendering'!$C$2:$C$2000,"&lt;="&amp;DATE(2026,6,30))</f>
        <v>3</v>
      </c>
      <c r="E15" s="14">
        <f>COUNTIFS('Message Rendering'!$C$2:$C$2000,"&gt;="&amp;DATE(2026,1,1),'Message Rendering'!$C$2:$C$2000,"&lt;="&amp;DATE(2026,3,31))</f>
        <v>2</v>
      </c>
      <c r="F15" s="14">
        <f>COUNTIFS('Message Rendering'!$C$2:$C$2000,"&gt;="&amp;DATE(2025,10,1),'Message Rendering'!$C$2:$C$2000,"&lt;="&amp;DATE(2025,12,31))</f>
        <v>1</v>
      </c>
      <c r="G15" s="14">
        <f>COUNTIFS('Message Rendering'!$C$2:$C$2000,"&gt;="&amp;DATE(2025,7,1),'Message Rendering'!$C$2:$C$2000,"&lt;="&amp;DATE(2025,9,30))</f>
        <v>1</v>
      </c>
      <c r="H15" s="14">
        <f>COUNTIFS('Message Rendering'!$C$2:$C$2000,"&gt;="&amp;DATE(2025,4,1),'Message Rendering'!$C$2:$C$2000,"&lt;="&amp;DATE(2025,6,30))</f>
        <v>1</v>
      </c>
      <c r="I15" s="14">
        <f>COUNTIFS('Message Rendering'!$C$2:$C$2000,"&gt;="&amp;DATE(2025,1,1),'Message Rendering'!$C$2:$C$2000,"&lt;="&amp;DATE(2025,3,31))</f>
        <v>3</v>
      </c>
      <c r="J15" s="14">
        <f>COUNTIFS('Message Rendering'!$C$2:$C$2000,"&gt;="&amp;DATE(2024,10,1),'Message Rendering'!$C$2:$C$2000,"&lt;="&amp;DATE(2024,12,31))</f>
        <v>0</v>
      </c>
      <c r="K15" s="14">
        <f>COUNTIFS('Message Rendering'!$C$2:$C$2000,"&gt;="&amp;DATE(2024,7,1),'Message Rendering'!$C$2:$C$2000,"&lt;="&amp;DATE(2024,9,30))</f>
        <v>1</v>
      </c>
      <c r="L15" s="14">
        <f>COUNTIFS('Message Rendering'!$C$2:$C$2000,"&gt;="&amp;DATE(2024,4,1),'Message Rendering'!$C$2:$C$2000,"&lt;="&amp;DATE(2024,6,30))</f>
        <v>2</v>
      </c>
      <c r="M15" s="14">
        <f>COUNTIFS('Message Rendering'!$C$2:$C$2000,"&gt;="&amp;DATE(2024,1,1),'Message Rendering'!$C$2:$C$2000,"&lt;="&amp;DATE(2024,3,31))</f>
        <v>2</v>
      </c>
      <c r="N15" s="14">
        <f>COUNTIFS('Message Rendering'!$C$2:$C$2000,"&gt;="&amp;DATE(2023,10,1),'Message Rendering'!$C$2:$C$2000,"&lt;="&amp;DATE(2023,12,31))</f>
        <v>1</v>
      </c>
      <c r="O15" s="14">
        <f>COUNTIFS('Message Rendering'!$C$2:$C$2000,"&gt;="&amp;DATE(2023,7,1),'Message Rendering'!$C$2:$C$2000,"&lt;="&amp;DATE(2023,9,30))</f>
        <v>1</v>
      </c>
      <c r="P15" s="14">
        <f>COUNTIFS('Message Rendering'!$C$2:$C$2000,"&gt;="&amp;DATE(2023,4,1),'Message Rendering'!$C$2:$C$2000,"&lt;="&amp;DATE(2023,6,30))</f>
        <v>4</v>
      </c>
      <c r="Q15" s="14">
        <f>COUNTIFS('Message Rendering'!$C$2:$C$2000,"&gt;="&amp;DATE(2023,1,1),'Message Rendering'!$C$2:$C$2000,"&lt;="&amp;DATE(2023,3,31))</f>
        <v>2</v>
      </c>
      <c r="R15" s="14">
        <f>COUNTIFS('Message Rendering'!$C$2:$C$2000,"&gt;="&amp;DATE(2022,10,1),'Message Rendering'!$C$2:$C$2000,"&lt;="&amp;DATE(2022,12,31))</f>
        <v>0</v>
      </c>
      <c r="S15" s="14">
        <f>COUNTIFS('Message Rendering'!$C$2:$C$2000,"&gt;="&amp;DATE(2022,7,1),'Message Rendering'!$C$2:$C$2000,"&lt;="&amp;DATE(2022,9,30))</f>
        <v>1</v>
      </c>
      <c r="T15" s="14">
        <f>COUNTIFS('Message Rendering'!$C$2:$C$2000,"&gt;="&amp;DATE(2022,4,1),'Message Rendering'!$C$2:$C$2000,"&lt;="&amp;DATE(2022,6,30))</f>
        <v>1</v>
      </c>
      <c r="U15" s="14">
        <f>COUNTIFS('Message Rendering'!$C$2:$C$2000,"&gt;="&amp;DATE(2022,1,1),'Message Rendering'!$C$2:$C$2000,"&lt;="&amp;DATE(2022,3,31))</f>
        <v>2</v>
      </c>
      <c r="V15" s="14">
        <f>COUNTIFS('Message Rendering'!$C$2:$C$2000,"&gt;="&amp;DATE(2021,10,1),'Message Rendering'!$C$2:$C$2000,"&lt;="&amp;DATE(2021,12,31))</f>
        <v>0</v>
      </c>
      <c r="W15" s="14">
        <f>COUNTIFS('Message Rendering'!$C$2:$C$2000,"&gt;="&amp;DATE(2021,7,1),'Message Rendering'!$C$2:$C$2000,"&lt;="&amp;DATE(2021,9,30))</f>
        <v>0</v>
      </c>
      <c r="X15" s="14">
        <f>COUNTIFS('Message Rendering'!$C$2:$C$2000,"&gt;="&amp;DATE(2021,4,1),'Message Rendering'!$C$2:$C$2000,"&lt;="&amp;DATE(2021,6,30))</f>
        <v>0</v>
      </c>
      <c r="Y15" s="14">
        <f>COUNTIFS('Message Rendering'!$C$2:$C$2000,"&gt;="&amp;DATE(2021,1,1),'Message Rendering'!$C$2:$C$2000,"&lt;="&amp;DATE(2021,3,31))</f>
        <v>0</v>
      </c>
      <c r="Z15" s="14">
        <f>COUNTIFS('Message Rendering'!$C$2:$C$2000,"&gt;="&amp;DATE(2020,10,1),'Message Rendering'!$C$2:$C$2000,"&lt;="&amp;DATE(2020,12,31))</f>
        <v>0</v>
      </c>
    </row>
    <row r="16">
      <c r="A16" s="10" t="s">
        <v>322</v>
      </c>
      <c r="B16" s="10" t="s">
        <v>323</v>
      </c>
      <c r="C16" s="14">
        <f>COUNTIFS('Attach Conversation'!$C$2:$C$2000,"&gt;="&amp;DATE(2026,7,1),'Attach Conversation'!$C$2:$C$2000,"&lt;="&amp;DATE(2026,9,30))</f>
        <v>1</v>
      </c>
      <c r="D16" s="14">
        <f>COUNTIFS('Attach Conversation'!$C$2:$C$2000,"&gt;="&amp;DATE(2026,4,1),'Attach Conversation'!$C$2:$C$2000,"&lt;="&amp;DATE(2026,6,30))</f>
        <v>1</v>
      </c>
      <c r="E16" s="14">
        <f>COUNTIFS('Attach Conversation'!$C$2:$C$2000,"&gt;="&amp;DATE(2026,1,1),'Attach Conversation'!$C$2:$C$2000,"&lt;="&amp;DATE(2026,3,31))</f>
        <v>0</v>
      </c>
      <c r="F16" s="14">
        <f>COUNTIFS('Attach Conversation'!$C$2:$C$2000,"&gt;="&amp;DATE(2025,10,1),'Attach Conversation'!$C$2:$C$2000,"&lt;="&amp;DATE(2025,12,31))</f>
        <v>0</v>
      </c>
      <c r="G16" s="14">
        <f>COUNTIFS('Attach Conversation'!$C$2:$C$2000,"&gt;="&amp;DATE(2025,7,1),'Attach Conversation'!$C$2:$C$2000,"&lt;="&amp;DATE(2025,9,30))</f>
        <v>0</v>
      </c>
      <c r="H16" s="14">
        <f>COUNTIFS('Attach Conversation'!$C$2:$C$2000,"&gt;="&amp;DATE(2025,4,1),'Attach Conversation'!$C$2:$C$2000,"&lt;="&amp;DATE(2025,6,30))</f>
        <v>0</v>
      </c>
      <c r="I16" s="14">
        <f>COUNTIFS('Attach Conversation'!$C$2:$C$2000,"&gt;="&amp;DATE(2025,1,1),'Attach Conversation'!$C$2:$C$2000,"&lt;="&amp;DATE(2025,3,31))</f>
        <v>0</v>
      </c>
      <c r="J16" s="14">
        <f>COUNTIFS('Attach Conversation'!$C$2:$C$2000,"&gt;="&amp;DATE(2024,10,1),'Attach Conversation'!$C$2:$C$2000,"&lt;="&amp;DATE(2024,12,31))</f>
        <v>0</v>
      </c>
      <c r="K16" s="14">
        <f>COUNTIFS('Attach Conversation'!$C$2:$C$2000,"&gt;="&amp;DATE(2024,7,1),'Attach Conversation'!$C$2:$C$2000,"&lt;="&amp;DATE(2024,9,30))</f>
        <v>0</v>
      </c>
      <c r="L16" s="14">
        <f>COUNTIFS('Attach Conversation'!$C$2:$C$2000,"&gt;="&amp;DATE(2024,4,1),'Attach Conversation'!$C$2:$C$2000,"&lt;="&amp;DATE(2024,6,30))</f>
        <v>0</v>
      </c>
      <c r="M16" s="14">
        <f>COUNTIFS('Attach Conversation'!$C$2:$C$2000,"&gt;="&amp;DATE(2024,1,1),'Attach Conversation'!$C$2:$C$2000,"&lt;="&amp;DATE(2024,3,31))</f>
        <v>0</v>
      </c>
      <c r="N16" s="14">
        <f>COUNTIFS('Attach Conversation'!$C$2:$C$2000,"&gt;="&amp;DATE(2023,10,1),'Attach Conversation'!$C$2:$C$2000,"&lt;="&amp;DATE(2023,12,31))</f>
        <v>0</v>
      </c>
      <c r="O16" s="14">
        <f>COUNTIFS('Attach Conversation'!$C$2:$C$2000,"&gt;="&amp;DATE(2023,7,1),'Attach Conversation'!$C$2:$C$2000,"&lt;="&amp;DATE(2023,9,30))</f>
        <v>0</v>
      </c>
      <c r="P16" s="14">
        <f>COUNTIFS('Attach Conversation'!$C$2:$C$2000,"&gt;="&amp;DATE(2023,4,1),'Attach Conversation'!$C$2:$C$2000,"&lt;="&amp;DATE(2023,6,30))</f>
        <v>0</v>
      </c>
      <c r="Q16" s="14">
        <f>COUNTIFS('Attach Conversation'!$C$2:$C$2000,"&gt;="&amp;DATE(2023,1,1),'Attach Conversation'!$C$2:$C$2000,"&lt;="&amp;DATE(2023,3,31))</f>
        <v>0</v>
      </c>
      <c r="R16" s="14">
        <f>COUNTIFS('Attach Conversation'!$C$2:$C$2000,"&gt;="&amp;DATE(2022,10,1),'Attach Conversation'!$C$2:$C$2000,"&lt;="&amp;DATE(2022,12,31))</f>
        <v>0</v>
      </c>
      <c r="S16" s="14">
        <f>COUNTIFS('Attach Conversation'!$C$2:$C$2000,"&gt;="&amp;DATE(2022,7,1),'Attach Conversation'!$C$2:$C$2000,"&lt;="&amp;DATE(2022,9,30))</f>
        <v>0</v>
      </c>
      <c r="T16" s="14">
        <f>COUNTIFS('Attach Conversation'!$C$2:$C$2000,"&gt;="&amp;DATE(2022,4,1),'Attach Conversation'!$C$2:$C$2000,"&lt;="&amp;DATE(2022,6,30))</f>
        <v>0</v>
      </c>
      <c r="U16" s="14">
        <f>COUNTIFS('Attach Conversation'!$C$2:$C$2000,"&gt;="&amp;DATE(2022,1,1),'Attach Conversation'!$C$2:$C$2000,"&lt;="&amp;DATE(2022,3,31))</f>
        <v>0</v>
      </c>
      <c r="V16" s="14">
        <f>COUNTIFS('Attach Conversation'!$C$2:$C$2000,"&gt;="&amp;DATE(2021,10,1),'Attach Conversation'!$C$2:$C$2000,"&lt;="&amp;DATE(2021,12,31))</f>
        <v>0</v>
      </c>
      <c r="W16" s="14">
        <f>COUNTIFS('Attach Conversation'!$C$2:$C$2000,"&gt;="&amp;DATE(2021,7,1),'Attach Conversation'!$C$2:$C$2000,"&lt;="&amp;DATE(2021,9,30))</f>
        <v>0</v>
      </c>
      <c r="X16" s="14">
        <f>COUNTIFS('Attach Conversation'!$C$2:$C$2000,"&gt;="&amp;DATE(2021,4,1),'Attach Conversation'!$C$2:$C$2000,"&lt;="&amp;DATE(2021,6,30))</f>
        <v>0</v>
      </c>
      <c r="Y16" s="14">
        <f>COUNTIFS('Attach Conversation'!$C$2:$C$2000,"&gt;="&amp;DATE(2021,1,1),'Attach Conversation'!$C$2:$C$2000,"&lt;="&amp;DATE(2021,3,31))</f>
        <v>0</v>
      </c>
      <c r="Z16" s="14">
        <f>COUNTIFS('Attach Conversation'!$C$2:$C$2000,"&gt;="&amp;DATE(2020,10,1),'Attach Conversation'!$C$2:$C$2000,"&lt;="&amp;DATE(2020,12,31))</f>
        <v>0</v>
      </c>
    </row>
    <row r="17">
      <c r="A17" s="10" t="s">
        <v>322</v>
      </c>
      <c r="B17" s="10" t="s">
        <v>336</v>
      </c>
      <c r="C17" s="14">
        <f>COUNTIFS('Print Conversation'!$C$2:$C$2000,"&gt;="&amp;DATE(2026,7,1),'Print Conversation'!$C$2:$C$2000,"&lt;="&amp;DATE(2026,9,30))</f>
        <v>0</v>
      </c>
      <c r="D17" s="14">
        <f>COUNTIFS('Print Conversation'!$C$2:$C$2000,"&gt;="&amp;DATE(2026,4,1),'Print Conversation'!$C$2:$C$2000,"&lt;="&amp;DATE(2026,6,30))</f>
        <v>0</v>
      </c>
      <c r="E17" s="14">
        <f>COUNTIFS('Print Conversation'!$C$2:$C$2000,"&gt;="&amp;DATE(2026,1,1),'Print Conversation'!$C$2:$C$2000,"&lt;="&amp;DATE(2026,3,31))</f>
        <v>0</v>
      </c>
      <c r="F17" s="14">
        <f>COUNTIFS('Print Conversation'!$C$2:$C$2000,"&gt;="&amp;DATE(2025,10,1),'Print Conversation'!$C$2:$C$2000,"&lt;="&amp;DATE(2025,12,31))</f>
        <v>1</v>
      </c>
      <c r="G17" s="14">
        <f>COUNTIFS('Print Conversation'!$C$2:$C$2000,"&gt;="&amp;DATE(2025,7,1),'Print Conversation'!$C$2:$C$2000,"&lt;="&amp;DATE(2025,9,30))</f>
        <v>0</v>
      </c>
      <c r="H17" s="14">
        <f>COUNTIFS('Print Conversation'!$C$2:$C$2000,"&gt;="&amp;DATE(2025,4,1),'Print Conversation'!$C$2:$C$2000,"&lt;="&amp;DATE(2025,6,30))</f>
        <v>0</v>
      </c>
      <c r="I17" s="14">
        <f>COUNTIFS('Print Conversation'!$C$2:$C$2000,"&gt;="&amp;DATE(2025,1,1),'Print Conversation'!$C$2:$C$2000,"&lt;="&amp;DATE(2025,3,31))</f>
        <v>0</v>
      </c>
      <c r="J17" s="14">
        <f>COUNTIFS('Print Conversation'!$C$2:$C$2000,"&gt;="&amp;DATE(2024,10,1),'Print Conversation'!$C$2:$C$2000,"&lt;="&amp;DATE(2024,12,31))</f>
        <v>1</v>
      </c>
      <c r="K17" s="14">
        <f>COUNTIFS('Print Conversation'!$C$2:$C$2000,"&gt;="&amp;DATE(2024,7,1),'Print Conversation'!$C$2:$C$2000,"&lt;="&amp;DATE(2024,9,30))</f>
        <v>0</v>
      </c>
      <c r="L17" s="14">
        <f>COUNTIFS('Print Conversation'!$C$2:$C$2000,"&gt;="&amp;DATE(2024,4,1),'Print Conversation'!$C$2:$C$2000,"&lt;="&amp;DATE(2024,6,30))</f>
        <v>0</v>
      </c>
      <c r="M17" s="14">
        <f>COUNTIFS('Print Conversation'!$C$2:$C$2000,"&gt;="&amp;DATE(2024,1,1),'Print Conversation'!$C$2:$C$2000,"&lt;="&amp;DATE(2024,3,31))</f>
        <v>1</v>
      </c>
      <c r="N17" s="14">
        <f>COUNTIFS('Print Conversation'!$C$2:$C$2000,"&gt;="&amp;DATE(2023,10,1),'Print Conversation'!$C$2:$C$2000,"&lt;="&amp;DATE(2023,12,31))</f>
        <v>0</v>
      </c>
      <c r="O17" s="14">
        <f>COUNTIFS('Print Conversation'!$C$2:$C$2000,"&gt;="&amp;DATE(2023,7,1),'Print Conversation'!$C$2:$C$2000,"&lt;="&amp;DATE(2023,9,30))</f>
        <v>0</v>
      </c>
      <c r="P17" s="14">
        <f>COUNTIFS('Print Conversation'!$C$2:$C$2000,"&gt;="&amp;DATE(2023,4,1),'Print Conversation'!$C$2:$C$2000,"&lt;="&amp;DATE(2023,6,30))</f>
        <v>0</v>
      </c>
      <c r="Q17" s="14">
        <f>COUNTIFS('Print Conversation'!$C$2:$C$2000,"&gt;="&amp;DATE(2023,1,1),'Print Conversation'!$C$2:$C$2000,"&lt;="&amp;DATE(2023,3,31))</f>
        <v>0</v>
      </c>
      <c r="R17" s="14">
        <f>COUNTIFS('Print Conversation'!$C$2:$C$2000,"&gt;="&amp;DATE(2022,10,1),'Print Conversation'!$C$2:$C$2000,"&lt;="&amp;DATE(2022,12,31))</f>
        <v>1</v>
      </c>
      <c r="S17" s="14">
        <f>COUNTIFS('Print Conversation'!$C$2:$C$2000,"&gt;="&amp;DATE(2022,7,1),'Print Conversation'!$C$2:$C$2000,"&lt;="&amp;DATE(2022,9,30))</f>
        <v>0</v>
      </c>
      <c r="T17" s="14">
        <f>COUNTIFS('Print Conversation'!$C$2:$C$2000,"&gt;="&amp;DATE(2022,4,1),'Print Conversation'!$C$2:$C$2000,"&lt;="&amp;DATE(2022,6,30))</f>
        <v>1</v>
      </c>
      <c r="U17" s="14">
        <f>COUNTIFS('Print Conversation'!$C$2:$C$2000,"&gt;="&amp;DATE(2022,1,1),'Print Conversation'!$C$2:$C$2000,"&lt;="&amp;DATE(2022,3,31))</f>
        <v>0</v>
      </c>
      <c r="V17" s="14">
        <f>COUNTIFS('Print Conversation'!$C$2:$C$2000,"&gt;="&amp;DATE(2021,10,1),'Print Conversation'!$C$2:$C$2000,"&lt;="&amp;DATE(2021,12,31))</f>
        <v>0</v>
      </c>
      <c r="W17" s="14">
        <f>COUNTIFS('Print Conversation'!$C$2:$C$2000,"&gt;="&amp;DATE(2021,7,1),'Print Conversation'!$C$2:$C$2000,"&lt;="&amp;DATE(2021,9,30))</f>
        <v>2</v>
      </c>
      <c r="X17" s="14">
        <f>COUNTIFS('Print Conversation'!$C$2:$C$2000,"&gt;="&amp;DATE(2021,4,1),'Print Conversation'!$C$2:$C$2000,"&lt;="&amp;DATE(2021,6,30))</f>
        <v>1</v>
      </c>
      <c r="Y17" s="14">
        <f>COUNTIFS('Print Conversation'!$C$2:$C$2000,"&gt;="&amp;DATE(2021,1,1),'Print Conversation'!$C$2:$C$2000,"&lt;="&amp;DATE(2021,3,31))</f>
        <v>1</v>
      </c>
      <c r="Z17" s="14">
        <f>COUNTIFS('Print Conversation'!$C$2:$C$2000,"&gt;="&amp;DATE(2020,10,1),'Print Conversation'!$C$2:$C$2000,"&lt;="&amp;DATE(2020,12,31))</f>
        <v>0</v>
      </c>
    </row>
    <row r="18">
      <c r="B18" s="20" t="s">
        <v>1443</v>
      </c>
      <c r="C18" s="19">
        <f t="shared" ref="C18:Z18" si="1">SUM(C5:C17)</f>
        <v>13</v>
      </c>
      <c r="D18" s="19">
        <f t="shared" si="1"/>
        <v>36</v>
      </c>
      <c r="E18" s="19">
        <f t="shared" si="1"/>
        <v>19</v>
      </c>
      <c r="F18" s="19">
        <f t="shared" si="1"/>
        <v>17</v>
      </c>
      <c r="G18" s="19">
        <f t="shared" si="1"/>
        <v>16</v>
      </c>
      <c r="H18" s="19">
        <f t="shared" si="1"/>
        <v>18</v>
      </c>
      <c r="I18" s="19">
        <f t="shared" si="1"/>
        <v>20</v>
      </c>
      <c r="J18" s="19">
        <f t="shared" si="1"/>
        <v>13</v>
      </c>
      <c r="K18" s="19">
        <f t="shared" si="1"/>
        <v>17</v>
      </c>
      <c r="L18" s="19">
        <f t="shared" si="1"/>
        <v>16</v>
      </c>
      <c r="M18" s="19">
        <f t="shared" si="1"/>
        <v>21</v>
      </c>
      <c r="N18" s="19">
        <f t="shared" si="1"/>
        <v>14</v>
      </c>
      <c r="O18" s="19">
        <f t="shared" si="1"/>
        <v>21</v>
      </c>
      <c r="P18" s="19">
        <f t="shared" si="1"/>
        <v>28</v>
      </c>
      <c r="Q18" s="19">
        <f t="shared" si="1"/>
        <v>28</v>
      </c>
      <c r="R18" s="19">
        <f t="shared" si="1"/>
        <v>21</v>
      </c>
      <c r="S18" s="19">
        <f t="shared" si="1"/>
        <v>46</v>
      </c>
      <c r="T18" s="19">
        <f t="shared" si="1"/>
        <v>47</v>
      </c>
      <c r="U18" s="19">
        <f t="shared" si="1"/>
        <v>43</v>
      </c>
      <c r="V18" s="19">
        <f t="shared" si="1"/>
        <v>28</v>
      </c>
      <c r="W18" s="19">
        <f t="shared" si="1"/>
        <v>21</v>
      </c>
      <c r="X18" s="19">
        <f t="shared" si="1"/>
        <v>28</v>
      </c>
      <c r="Y18" s="19">
        <f t="shared" si="1"/>
        <v>10</v>
      </c>
      <c r="Z18" s="19">
        <f t="shared" si="1"/>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3.0"/>
    <col customWidth="1" min="3" max="3" width="10.0"/>
    <col customWidth="1" min="4" max="4" width="11.0"/>
    <col customWidth="1" min="5" max="5" width="18.0"/>
    <col customWidth="1" min="6" max="6" width="9.0"/>
    <col customWidth="1" min="7" max="7" width="90.0"/>
    <col customWidth="1" min="8" max="8" width="58.0"/>
    <col customWidth="1" min="9" max="26" width="8.71"/>
  </cols>
  <sheetData>
    <row r="1" ht="31.5" customHeight="1">
      <c r="A1" s="4" t="s">
        <v>2</v>
      </c>
      <c r="B1" s="4" t="s">
        <v>9</v>
      </c>
      <c r="C1" s="4" t="s">
        <v>10</v>
      </c>
      <c r="D1" s="4" t="s">
        <v>11</v>
      </c>
      <c r="E1" s="4" t="s">
        <v>12</v>
      </c>
      <c r="F1" s="4" t="s">
        <v>13</v>
      </c>
      <c r="G1" s="4" t="s">
        <v>14</v>
      </c>
      <c r="H1" s="4" t="s">
        <v>15</v>
      </c>
    </row>
    <row r="2">
      <c r="A2" s="7">
        <v>1.0000114E7</v>
      </c>
      <c r="B2" s="9">
        <v>46252.0</v>
      </c>
      <c r="C2" s="7">
        <v>2.0</v>
      </c>
      <c r="D2" s="7" t="s">
        <v>53</v>
      </c>
      <c r="E2" s="7" t="s">
        <v>54</v>
      </c>
      <c r="F2" s="7" t="s">
        <v>55</v>
      </c>
      <c r="G2" s="12" t="s">
        <v>56</v>
      </c>
      <c r="H2" s="12" t="s">
        <v>68</v>
      </c>
    </row>
    <row r="3">
      <c r="A3" s="7">
        <v>1.0836957E7</v>
      </c>
      <c r="B3" s="9">
        <v>46250.0</v>
      </c>
      <c r="C3" s="7">
        <v>8.0</v>
      </c>
      <c r="D3" s="7" t="s">
        <v>53</v>
      </c>
      <c r="E3" s="7" t="s">
        <v>69</v>
      </c>
      <c r="F3" s="7" t="s">
        <v>55</v>
      </c>
      <c r="G3" s="12" t="s">
        <v>70</v>
      </c>
      <c r="H3" s="12" t="s">
        <v>71</v>
      </c>
    </row>
    <row r="4">
      <c r="A4" s="7">
        <v>9983249.0</v>
      </c>
      <c r="B4" s="9">
        <v>46244.0</v>
      </c>
      <c r="C4" s="7">
        <v>10.0</v>
      </c>
      <c r="D4" s="7" t="s">
        <v>53</v>
      </c>
      <c r="E4" s="7" t="s">
        <v>69</v>
      </c>
      <c r="F4" s="7" t="s">
        <v>55</v>
      </c>
      <c r="G4" s="12" t="s">
        <v>72</v>
      </c>
      <c r="H4" s="12" t="s">
        <v>71</v>
      </c>
    </row>
    <row r="5">
      <c r="A5" s="7">
        <v>8999462.0</v>
      </c>
      <c r="B5" s="9">
        <v>46238.0</v>
      </c>
      <c r="C5" s="7">
        <v>9.0</v>
      </c>
      <c r="D5" s="7" t="s">
        <v>53</v>
      </c>
      <c r="E5" s="7" t="s">
        <v>73</v>
      </c>
      <c r="F5" s="7" t="s">
        <v>55</v>
      </c>
      <c r="G5" s="12" t="s">
        <v>74</v>
      </c>
      <c r="H5" s="12" t="s">
        <v>75</v>
      </c>
    </row>
    <row r="6">
      <c r="A6" s="7">
        <v>1.0822667E7</v>
      </c>
      <c r="B6" s="9">
        <v>46237.0</v>
      </c>
      <c r="C6" s="7">
        <v>1.0</v>
      </c>
      <c r="D6" s="7" t="s">
        <v>76</v>
      </c>
      <c r="E6" s="7" t="s">
        <v>69</v>
      </c>
      <c r="F6" s="7" t="s">
        <v>55</v>
      </c>
      <c r="G6" s="12" t="s">
        <v>77</v>
      </c>
      <c r="H6" s="12" t="s">
        <v>78</v>
      </c>
    </row>
    <row r="7">
      <c r="A7" s="7">
        <v>1.0997771E7</v>
      </c>
      <c r="B7" s="9">
        <v>46231.0</v>
      </c>
      <c r="C7" s="7">
        <v>7.0</v>
      </c>
      <c r="D7" s="7" t="s">
        <v>79</v>
      </c>
      <c r="E7" s="7" t="s">
        <v>80</v>
      </c>
      <c r="F7" s="7" t="s">
        <v>55</v>
      </c>
      <c r="G7" s="12" t="s">
        <v>81</v>
      </c>
      <c r="H7" s="12" t="s">
        <v>78</v>
      </c>
    </row>
    <row r="8">
      <c r="A8" s="7">
        <v>3105126.0</v>
      </c>
      <c r="B8" s="9">
        <v>46227.0</v>
      </c>
      <c r="C8" s="7">
        <v>4.0</v>
      </c>
      <c r="D8" s="7" t="s">
        <v>82</v>
      </c>
      <c r="E8" s="7" t="s">
        <v>83</v>
      </c>
      <c r="F8" s="7" t="s">
        <v>55</v>
      </c>
      <c r="G8" s="12" t="s">
        <v>84</v>
      </c>
      <c r="H8" s="12" t="s">
        <v>78</v>
      </c>
    </row>
    <row r="9">
      <c r="A9" s="7">
        <v>7134577.0</v>
      </c>
      <c r="B9" s="9">
        <v>46226.0</v>
      </c>
      <c r="C9" s="7">
        <v>6.0</v>
      </c>
      <c r="D9" s="7" t="s">
        <v>53</v>
      </c>
      <c r="E9" s="7" t="s">
        <v>66</v>
      </c>
      <c r="F9" s="7" t="s">
        <v>55</v>
      </c>
      <c r="G9" s="12" t="s">
        <v>85</v>
      </c>
      <c r="H9" s="12" t="s">
        <v>78</v>
      </c>
    </row>
    <row r="10">
      <c r="A10" s="7">
        <v>5348995.0</v>
      </c>
      <c r="B10" s="9">
        <v>46222.0</v>
      </c>
      <c r="C10" s="7">
        <v>6.0</v>
      </c>
      <c r="D10" s="7" t="s">
        <v>79</v>
      </c>
      <c r="E10" s="7" t="s">
        <v>80</v>
      </c>
      <c r="F10" s="7" t="s">
        <v>55</v>
      </c>
      <c r="G10" s="12" t="s">
        <v>86</v>
      </c>
      <c r="H10" s="12" t="s">
        <v>68</v>
      </c>
    </row>
    <row r="11">
      <c r="A11" s="7">
        <v>7881668.0</v>
      </c>
      <c r="B11" s="9">
        <v>46216.0</v>
      </c>
      <c r="C11" s="7">
        <v>10.0</v>
      </c>
      <c r="D11" s="7" t="s">
        <v>87</v>
      </c>
      <c r="E11" s="7" t="s">
        <v>88</v>
      </c>
      <c r="F11" s="7" t="s">
        <v>55</v>
      </c>
      <c r="G11" s="12" t="s">
        <v>89</v>
      </c>
      <c r="H11" s="12" t="s">
        <v>90</v>
      </c>
    </row>
    <row r="12">
      <c r="A12" s="7">
        <v>1.0239683E7</v>
      </c>
      <c r="B12" s="9">
        <v>46211.0</v>
      </c>
      <c r="C12" s="7">
        <v>1.0</v>
      </c>
      <c r="D12" s="7" t="s">
        <v>53</v>
      </c>
      <c r="E12" s="7" t="s">
        <v>69</v>
      </c>
      <c r="F12" s="7" t="s">
        <v>55</v>
      </c>
      <c r="G12" s="12" t="s">
        <v>91</v>
      </c>
      <c r="H12" s="12" t="s">
        <v>71</v>
      </c>
    </row>
    <row r="13">
      <c r="A13" s="7">
        <v>8645714.0</v>
      </c>
      <c r="B13" s="9">
        <v>46203.0</v>
      </c>
      <c r="C13" s="7">
        <v>3.0</v>
      </c>
      <c r="D13" s="7" t="s">
        <v>79</v>
      </c>
      <c r="E13" s="7" t="s">
        <v>80</v>
      </c>
      <c r="F13" s="7" t="s">
        <v>55</v>
      </c>
      <c r="G13" s="12" t="s">
        <v>92</v>
      </c>
      <c r="H13" s="12" t="s">
        <v>68</v>
      </c>
    </row>
    <row r="14">
      <c r="A14" s="7">
        <v>648608.0</v>
      </c>
      <c r="B14" s="9">
        <v>46200.0</v>
      </c>
      <c r="C14" s="7">
        <v>3.0</v>
      </c>
      <c r="D14" s="7" t="s">
        <v>53</v>
      </c>
      <c r="E14" s="7" t="s">
        <v>66</v>
      </c>
      <c r="F14" s="7" t="s">
        <v>55</v>
      </c>
      <c r="G14" s="12" t="s">
        <v>94</v>
      </c>
      <c r="H14" s="12" t="s">
        <v>78</v>
      </c>
    </row>
    <row r="15">
      <c r="A15" s="7">
        <v>7489088.0</v>
      </c>
      <c r="B15" s="9">
        <v>46189.0</v>
      </c>
      <c r="C15" s="7">
        <v>6.0</v>
      </c>
      <c r="D15" s="7" t="s">
        <v>82</v>
      </c>
      <c r="E15" s="7" t="s">
        <v>73</v>
      </c>
      <c r="F15" s="7" t="s">
        <v>55</v>
      </c>
      <c r="G15" s="12" t="s">
        <v>95</v>
      </c>
      <c r="H15" s="12" t="s">
        <v>78</v>
      </c>
    </row>
    <row r="16">
      <c r="A16" s="7">
        <v>9021132.0</v>
      </c>
      <c r="B16" s="9">
        <v>46189.0</v>
      </c>
      <c r="C16" s="7">
        <v>6.0</v>
      </c>
      <c r="D16" s="7" t="s">
        <v>53</v>
      </c>
      <c r="E16" s="7" t="s">
        <v>69</v>
      </c>
      <c r="F16" s="7" t="s">
        <v>55</v>
      </c>
      <c r="G16" s="12" t="s">
        <v>97</v>
      </c>
      <c r="H16" s="12" t="s">
        <v>68</v>
      </c>
    </row>
    <row r="17">
      <c r="A17" s="7">
        <v>1.0309315E7</v>
      </c>
      <c r="B17" s="9">
        <v>46172.0</v>
      </c>
      <c r="C17" s="7">
        <v>5.0</v>
      </c>
      <c r="D17" s="7" t="s">
        <v>53</v>
      </c>
      <c r="E17" s="7" t="s">
        <v>69</v>
      </c>
      <c r="F17" s="7" t="s">
        <v>55</v>
      </c>
      <c r="G17" s="12" t="s">
        <v>98</v>
      </c>
      <c r="H17" s="12" t="s">
        <v>75</v>
      </c>
    </row>
    <row r="18">
      <c r="A18" s="7">
        <v>9879540.0</v>
      </c>
      <c r="B18" s="9">
        <v>46171.0</v>
      </c>
      <c r="C18" s="7">
        <v>2.0</v>
      </c>
      <c r="D18" s="7" t="s">
        <v>53</v>
      </c>
      <c r="E18" s="7" t="s">
        <v>69</v>
      </c>
      <c r="F18" s="7" t="s">
        <v>55</v>
      </c>
      <c r="G18" s="12" t="s">
        <v>99</v>
      </c>
      <c r="H18" s="12" t="s">
        <v>78</v>
      </c>
    </row>
    <row r="19">
      <c r="A19" s="7">
        <v>8121511.0</v>
      </c>
      <c r="B19" s="9">
        <v>46169.0</v>
      </c>
      <c r="C19" s="7">
        <v>2.0</v>
      </c>
      <c r="D19" s="7" t="s">
        <v>100</v>
      </c>
      <c r="E19" s="7" t="s">
        <v>69</v>
      </c>
      <c r="F19" s="7" t="s">
        <v>55</v>
      </c>
      <c r="G19" s="12" t="s">
        <v>102</v>
      </c>
      <c r="H19" s="12" t="s">
        <v>103</v>
      </c>
    </row>
    <row r="20">
      <c r="A20" s="7">
        <v>1871530.0</v>
      </c>
      <c r="B20" s="9">
        <v>46152.0</v>
      </c>
      <c r="C20" s="7">
        <v>3.0</v>
      </c>
      <c r="D20" s="7" t="s">
        <v>53</v>
      </c>
      <c r="E20" s="7" t="s">
        <v>66</v>
      </c>
      <c r="F20" s="7" t="s">
        <v>55</v>
      </c>
      <c r="G20" s="12" t="s">
        <v>104</v>
      </c>
      <c r="H20" s="12" t="s">
        <v>78</v>
      </c>
    </row>
    <row r="21" ht="15.75" customHeight="1">
      <c r="A21" s="7">
        <v>9289367.0</v>
      </c>
      <c r="B21" s="9">
        <v>46149.0</v>
      </c>
      <c r="C21" s="7">
        <v>6.0</v>
      </c>
      <c r="D21" s="7" t="s">
        <v>53</v>
      </c>
      <c r="E21" s="7" t="s">
        <v>69</v>
      </c>
      <c r="F21" s="7" t="s">
        <v>55</v>
      </c>
      <c r="G21" s="12" t="s">
        <v>105</v>
      </c>
      <c r="H21" s="12" t="s">
        <v>78</v>
      </c>
    </row>
    <row r="22" ht="15.75" customHeight="1">
      <c r="A22" s="7">
        <v>8883181.0</v>
      </c>
      <c r="B22" s="9">
        <v>46141.0</v>
      </c>
      <c r="C22" s="7">
        <v>8.0</v>
      </c>
      <c r="D22" s="7" t="s">
        <v>53</v>
      </c>
      <c r="E22" s="7" t="s">
        <v>108</v>
      </c>
      <c r="F22" s="7" t="s">
        <v>55</v>
      </c>
      <c r="G22" s="12" t="s">
        <v>109</v>
      </c>
      <c r="H22" s="12" t="s">
        <v>78</v>
      </c>
    </row>
    <row r="23" ht="15.75" customHeight="1">
      <c r="A23" s="7">
        <v>3675661.0</v>
      </c>
      <c r="B23" s="9">
        <v>46132.0</v>
      </c>
      <c r="C23" s="7">
        <v>5.0</v>
      </c>
      <c r="D23" s="7" t="s">
        <v>53</v>
      </c>
      <c r="E23" s="7" t="s">
        <v>80</v>
      </c>
      <c r="F23" s="7" t="s">
        <v>55</v>
      </c>
      <c r="G23" s="12" t="s">
        <v>113</v>
      </c>
      <c r="H23" s="12" t="s">
        <v>78</v>
      </c>
    </row>
    <row r="24" ht="15.75" customHeight="1">
      <c r="A24" s="7">
        <v>7553399.0</v>
      </c>
      <c r="B24" s="9">
        <v>46121.0</v>
      </c>
      <c r="C24" s="7">
        <v>1.0</v>
      </c>
      <c r="D24" s="7" t="s">
        <v>53</v>
      </c>
      <c r="E24" s="7" t="s">
        <v>110</v>
      </c>
      <c r="F24" s="7" t="s">
        <v>55</v>
      </c>
      <c r="G24" s="12" t="s">
        <v>116</v>
      </c>
      <c r="H24" s="12" t="s">
        <v>78</v>
      </c>
    </row>
    <row r="25" ht="15.75" customHeight="1">
      <c r="A25" s="7">
        <v>4991423.0</v>
      </c>
      <c r="B25" s="9">
        <v>46115.0</v>
      </c>
      <c r="C25" s="7">
        <v>1.0</v>
      </c>
      <c r="D25" s="7" t="s">
        <v>76</v>
      </c>
      <c r="E25" s="7" t="s">
        <v>80</v>
      </c>
      <c r="F25" s="7" t="s">
        <v>55</v>
      </c>
      <c r="G25" s="12" t="s">
        <v>123</v>
      </c>
      <c r="H25" s="12" t="s">
        <v>68</v>
      </c>
    </row>
    <row r="26" ht="15.75" customHeight="1">
      <c r="A26" s="7">
        <v>8065294.0</v>
      </c>
      <c r="B26" s="9">
        <v>46094.0</v>
      </c>
      <c r="C26" s="7">
        <v>2.0</v>
      </c>
      <c r="D26" s="7" t="s">
        <v>82</v>
      </c>
      <c r="E26" s="7" t="s">
        <v>108</v>
      </c>
      <c r="F26" s="7" t="s">
        <v>55</v>
      </c>
      <c r="G26" s="12" t="s">
        <v>128</v>
      </c>
      <c r="H26" s="12" t="s">
        <v>78</v>
      </c>
    </row>
    <row r="27" ht="15.75" customHeight="1">
      <c r="A27" s="7">
        <v>5131695.0</v>
      </c>
      <c r="B27" s="9">
        <v>46088.0</v>
      </c>
      <c r="C27" s="7">
        <v>4.0</v>
      </c>
      <c r="D27" s="7" t="s">
        <v>79</v>
      </c>
      <c r="E27" s="7" t="s">
        <v>110</v>
      </c>
      <c r="F27" s="7" t="s">
        <v>55</v>
      </c>
      <c r="G27" s="12" t="s">
        <v>130</v>
      </c>
      <c r="H27" s="12" t="s">
        <v>78</v>
      </c>
    </row>
    <row r="28" ht="15.75" customHeight="1">
      <c r="A28" s="7">
        <v>4491711.0</v>
      </c>
      <c r="B28" s="9">
        <v>46086.0</v>
      </c>
      <c r="C28" s="7">
        <v>8.0</v>
      </c>
      <c r="D28" s="7" t="s">
        <v>79</v>
      </c>
      <c r="E28" s="7" t="s">
        <v>80</v>
      </c>
      <c r="F28" s="7" t="s">
        <v>55</v>
      </c>
      <c r="G28" s="12" t="s">
        <v>132</v>
      </c>
      <c r="H28" s="12" t="s">
        <v>68</v>
      </c>
    </row>
    <row r="29" ht="15.75" customHeight="1">
      <c r="A29" s="7">
        <v>7212703.0</v>
      </c>
      <c r="B29" s="9">
        <v>46084.0</v>
      </c>
      <c r="C29" s="7">
        <v>6.0</v>
      </c>
      <c r="D29" s="7" t="s">
        <v>82</v>
      </c>
      <c r="E29" s="7" t="s">
        <v>54</v>
      </c>
      <c r="F29" s="7" t="s">
        <v>55</v>
      </c>
      <c r="G29" s="12" t="s">
        <v>135</v>
      </c>
      <c r="H29" s="12" t="s">
        <v>78</v>
      </c>
    </row>
    <row r="30" ht="15.75" customHeight="1">
      <c r="A30" s="7">
        <v>6401573.0</v>
      </c>
      <c r="B30" s="9">
        <v>46062.0</v>
      </c>
      <c r="C30" s="7">
        <v>3.0</v>
      </c>
      <c r="D30" s="7" t="s">
        <v>82</v>
      </c>
      <c r="E30" s="7" t="s">
        <v>138</v>
      </c>
      <c r="F30" s="7" t="s">
        <v>55</v>
      </c>
      <c r="G30" s="12" t="s">
        <v>139</v>
      </c>
      <c r="H30" s="12" t="s">
        <v>71</v>
      </c>
    </row>
    <row r="31" ht="15.75" customHeight="1">
      <c r="A31" s="7">
        <v>5595307.0</v>
      </c>
      <c r="B31" s="9">
        <v>46055.0</v>
      </c>
      <c r="C31" s="7">
        <v>8.0</v>
      </c>
      <c r="D31" s="7" t="s">
        <v>82</v>
      </c>
      <c r="E31" s="7" t="s">
        <v>80</v>
      </c>
      <c r="F31" s="7" t="s">
        <v>55</v>
      </c>
      <c r="G31" s="12" t="s">
        <v>143</v>
      </c>
      <c r="H31" s="12" t="s">
        <v>78</v>
      </c>
    </row>
    <row r="32" ht="15.75" customHeight="1">
      <c r="A32" s="7">
        <v>6568697.0</v>
      </c>
      <c r="B32" s="9">
        <v>46051.0</v>
      </c>
      <c r="C32" s="7">
        <v>8.0</v>
      </c>
      <c r="D32" s="7" t="s">
        <v>82</v>
      </c>
      <c r="E32" s="7" t="s">
        <v>138</v>
      </c>
      <c r="F32" s="7" t="s">
        <v>55</v>
      </c>
      <c r="G32" s="12" t="s">
        <v>146</v>
      </c>
      <c r="H32" s="12" t="s">
        <v>75</v>
      </c>
    </row>
    <row r="33" ht="15.75" customHeight="1">
      <c r="A33" s="7">
        <v>3105126.0</v>
      </c>
      <c r="B33" s="9">
        <v>46045.0</v>
      </c>
      <c r="C33" s="7">
        <v>5.0</v>
      </c>
      <c r="D33" s="7" t="s">
        <v>82</v>
      </c>
      <c r="E33" s="7" t="s">
        <v>83</v>
      </c>
      <c r="F33" s="7" t="s">
        <v>55</v>
      </c>
      <c r="G33" s="12" t="s">
        <v>149</v>
      </c>
      <c r="H33" s="12" t="s">
        <v>78</v>
      </c>
    </row>
    <row r="34" ht="15.75" customHeight="1">
      <c r="A34" s="7">
        <v>4638692.0</v>
      </c>
      <c r="B34" s="9">
        <v>46040.0</v>
      </c>
      <c r="C34" s="7">
        <v>10.0</v>
      </c>
      <c r="D34" s="7" t="s">
        <v>79</v>
      </c>
      <c r="E34" s="7" t="s">
        <v>80</v>
      </c>
      <c r="F34" s="7" t="s">
        <v>55</v>
      </c>
      <c r="G34" s="12" t="s">
        <v>153</v>
      </c>
      <c r="H34" s="12" t="s">
        <v>90</v>
      </c>
    </row>
    <row r="35" ht="15.75" customHeight="1">
      <c r="A35" s="7">
        <v>3375703.0</v>
      </c>
      <c r="B35" s="9">
        <v>46036.0</v>
      </c>
      <c r="C35" s="7">
        <v>5.0</v>
      </c>
      <c r="D35" s="7" t="s">
        <v>53</v>
      </c>
      <c r="E35" s="7" t="s">
        <v>66</v>
      </c>
      <c r="F35" s="7" t="s">
        <v>55</v>
      </c>
      <c r="G35" s="12" t="s">
        <v>156</v>
      </c>
      <c r="H35" s="12" t="s">
        <v>78</v>
      </c>
    </row>
    <row r="36" ht="15.75" customHeight="1">
      <c r="A36" s="7">
        <v>1661326.0</v>
      </c>
      <c r="B36" s="9">
        <v>46035.0</v>
      </c>
      <c r="C36" s="7">
        <v>8.0</v>
      </c>
      <c r="D36" s="7" t="s">
        <v>53</v>
      </c>
      <c r="E36" s="7" t="s">
        <v>66</v>
      </c>
      <c r="F36" s="7" t="s">
        <v>55</v>
      </c>
      <c r="G36" s="12" t="s">
        <v>158</v>
      </c>
      <c r="H36" s="12" t="s">
        <v>78</v>
      </c>
    </row>
    <row r="37" ht="15.75" customHeight="1">
      <c r="A37" s="7">
        <v>3978114.0</v>
      </c>
      <c r="B37" s="9">
        <v>46027.0</v>
      </c>
      <c r="C37" s="7">
        <v>3.0</v>
      </c>
      <c r="D37" s="7" t="s">
        <v>82</v>
      </c>
      <c r="E37" s="7" t="s">
        <v>80</v>
      </c>
      <c r="F37" s="7" t="s">
        <v>55</v>
      </c>
      <c r="G37" s="12" t="s">
        <v>162</v>
      </c>
      <c r="H37" s="12" t="s">
        <v>75</v>
      </c>
    </row>
    <row r="38" ht="15.75" customHeight="1">
      <c r="A38" s="7">
        <v>6465204.0</v>
      </c>
      <c r="B38" s="9">
        <v>46019.0</v>
      </c>
      <c r="C38" s="7">
        <v>10.0</v>
      </c>
      <c r="D38" s="7" t="s">
        <v>82</v>
      </c>
      <c r="E38" s="7" t="s">
        <v>80</v>
      </c>
      <c r="F38" s="7" t="s">
        <v>55</v>
      </c>
      <c r="G38" s="12" t="s">
        <v>165</v>
      </c>
      <c r="H38" s="12" t="s">
        <v>75</v>
      </c>
    </row>
    <row r="39" ht="15.75" customHeight="1">
      <c r="A39" s="7">
        <v>4654560.0</v>
      </c>
      <c r="B39" s="9">
        <v>45995.0</v>
      </c>
      <c r="C39" s="7">
        <v>8.0</v>
      </c>
      <c r="D39" s="7" t="s">
        <v>53</v>
      </c>
      <c r="E39" s="7" t="s">
        <v>66</v>
      </c>
      <c r="F39" s="7" t="s">
        <v>55</v>
      </c>
      <c r="G39" s="12" t="s">
        <v>167</v>
      </c>
      <c r="H39" s="12" t="s">
        <v>78</v>
      </c>
    </row>
    <row r="40" ht="15.75" customHeight="1">
      <c r="A40" s="7">
        <v>430031.0</v>
      </c>
      <c r="B40" s="9">
        <v>45986.0</v>
      </c>
      <c r="C40" s="7">
        <v>2.0</v>
      </c>
      <c r="D40" s="7" t="s">
        <v>53</v>
      </c>
      <c r="E40" s="7" t="s">
        <v>66</v>
      </c>
      <c r="F40" s="7" t="s">
        <v>55</v>
      </c>
      <c r="G40" s="12" t="s">
        <v>169</v>
      </c>
      <c r="H40" s="12" t="s">
        <v>75</v>
      </c>
    </row>
    <row r="41" ht="15.75" customHeight="1">
      <c r="A41" s="7">
        <v>1144264.0</v>
      </c>
      <c r="B41" s="9">
        <v>45986.0</v>
      </c>
      <c r="C41" s="7">
        <v>8.0</v>
      </c>
      <c r="D41" s="7" t="s">
        <v>53</v>
      </c>
      <c r="E41" s="7" t="s">
        <v>142</v>
      </c>
      <c r="F41" s="7" t="s">
        <v>55</v>
      </c>
      <c r="G41" s="12" t="s">
        <v>172</v>
      </c>
      <c r="H41" s="12" t="s">
        <v>75</v>
      </c>
    </row>
    <row r="42" ht="15.75" customHeight="1">
      <c r="A42" s="7">
        <v>7794011.0</v>
      </c>
      <c r="B42" s="9">
        <v>45985.0</v>
      </c>
      <c r="C42" s="7">
        <v>2.0</v>
      </c>
      <c r="D42" s="7" t="s">
        <v>79</v>
      </c>
      <c r="E42" s="7" t="s">
        <v>142</v>
      </c>
      <c r="F42" s="7" t="s">
        <v>55</v>
      </c>
      <c r="G42" s="12" t="s">
        <v>178</v>
      </c>
      <c r="H42" s="12" t="s">
        <v>78</v>
      </c>
    </row>
    <row r="43" ht="15.75" customHeight="1">
      <c r="A43" s="7">
        <v>7896991.0</v>
      </c>
      <c r="B43" s="9">
        <v>45982.0</v>
      </c>
      <c r="C43" s="7">
        <v>6.0</v>
      </c>
      <c r="D43" s="7" t="s">
        <v>79</v>
      </c>
      <c r="E43" s="7" t="s">
        <v>110</v>
      </c>
      <c r="F43" s="7" t="s">
        <v>55</v>
      </c>
      <c r="G43" s="12" t="s">
        <v>183</v>
      </c>
      <c r="H43" s="12" t="s">
        <v>78</v>
      </c>
    </row>
    <row r="44" ht="15.75" customHeight="1">
      <c r="A44" s="7">
        <v>7679386.0</v>
      </c>
      <c r="B44" s="9">
        <v>45974.0</v>
      </c>
      <c r="C44" s="7">
        <v>1.0</v>
      </c>
      <c r="D44" s="7" t="s">
        <v>53</v>
      </c>
      <c r="E44" s="7" t="s">
        <v>138</v>
      </c>
      <c r="F44" s="7" t="s">
        <v>55</v>
      </c>
      <c r="G44" s="12" t="s">
        <v>186</v>
      </c>
      <c r="H44" s="12" t="s">
        <v>78</v>
      </c>
    </row>
    <row r="45" ht="15.75" customHeight="1">
      <c r="A45" s="7">
        <v>6401573.0</v>
      </c>
      <c r="B45" s="9">
        <v>45971.0</v>
      </c>
      <c r="C45" s="7">
        <v>3.0</v>
      </c>
      <c r="D45" s="7" t="s">
        <v>82</v>
      </c>
      <c r="E45" s="7" t="s">
        <v>138</v>
      </c>
      <c r="F45" s="7" t="s">
        <v>55</v>
      </c>
      <c r="G45" s="12" t="s">
        <v>191</v>
      </c>
      <c r="H45" s="12" t="s">
        <v>68</v>
      </c>
    </row>
    <row r="46" ht="15.75" customHeight="1">
      <c r="A46" s="7">
        <v>180151.0</v>
      </c>
      <c r="B46" s="9">
        <v>45966.0</v>
      </c>
      <c r="C46" s="7">
        <v>0.0</v>
      </c>
      <c r="D46" s="7" t="s">
        <v>82</v>
      </c>
      <c r="E46" s="7" t="s">
        <v>80</v>
      </c>
      <c r="F46" s="7" t="s">
        <v>55</v>
      </c>
      <c r="G46" s="12" t="s">
        <v>197</v>
      </c>
      <c r="H46" s="12" t="s">
        <v>78</v>
      </c>
    </row>
    <row r="47" ht="15.75" customHeight="1">
      <c r="A47" s="7">
        <v>5726631.0</v>
      </c>
      <c r="B47" s="9">
        <v>45963.0</v>
      </c>
      <c r="C47" s="7">
        <v>1.0</v>
      </c>
      <c r="D47" s="7" t="s">
        <v>53</v>
      </c>
      <c r="E47" s="7" t="s">
        <v>66</v>
      </c>
      <c r="F47" s="7" t="s">
        <v>55</v>
      </c>
      <c r="G47" s="12" t="s">
        <v>201</v>
      </c>
      <c r="H47" s="12" t="s">
        <v>78</v>
      </c>
    </row>
    <row r="48" ht="15.75" customHeight="1">
      <c r="A48" s="7">
        <v>1661326.0</v>
      </c>
      <c r="B48" s="9">
        <v>45944.0</v>
      </c>
      <c r="C48" s="7">
        <v>7.0</v>
      </c>
      <c r="D48" s="7" t="s">
        <v>53</v>
      </c>
      <c r="E48" s="7" t="s">
        <v>66</v>
      </c>
      <c r="F48" s="7" t="s">
        <v>55</v>
      </c>
      <c r="G48" s="12" t="s">
        <v>206</v>
      </c>
      <c r="H48" s="12" t="s">
        <v>78</v>
      </c>
    </row>
    <row r="49" ht="15.75" customHeight="1">
      <c r="A49" s="7">
        <v>770335.0</v>
      </c>
      <c r="B49" s="9">
        <v>45932.0</v>
      </c>
      <c r="C49" s="7">
        <v>1.0</v>
      </c>
      <c r="D49" s="7" t="s">
        <v>53</v>
      </c>
      <c r="E49" s="7" t="s">
        <v>66</v>
      </c>
      <c r="F49" s="7" t="s">
        <v>55</v>
      </c>
      <c r="G49" s="12" t="s">
        <v>212</v>
      </c>
      <c r="H49" s="12" t="s">
        <v>78</v>
      </c>
    </row>
    <row r="50" ht="15.75" customHeight="1">
      <c r="A50" s="7">
        <v>5408415.0</v>
      </c>
      <c r="B50" s="9">
        <v>45928.0</v>
      </c>
      <c r="C50" s="7">
        <v>6.0</v>
      </c>
      <c r="D50" s="7" t="s">
        <v>53</v>
      </c>
      <c r="E50" s="7" t="s">
        <v>108</v>
      </c>
      <c r="F50" s="7" t="s">
        <v>55</v>
      </c>
      <c r="G50" s="12" t="s">
        <v>218</v>
      </c>
      <c r="H50" s="12" t="s">
        <v>78</v>
      </c>
    </row>
    <row r="51" ht="15.75" customHeight="1">
      <c r="A51" s="7">
        <v>182176.0</v>
      </c>
      <c r="B51" s="9">
        <v>45922.0</v>
      </c>
      <c r="C51" s="7">
        <v>4.0</v>
      </c>
      <c r="D51" s="7" t="s">
        <v>53</v>
      </c>
      <c r="E51" s="7" t="s">
        <v>80</v>
      </c>
      <c r="F51" s="7" t="s">
        <v>55</v>
      </c>
      <c r="G51" s="12" t="s">
        <v>222</v>
      </c>
      <c r="H51" s="12" t="s">
        <v>78</v>
      </c>
    </row>
    <row r="52" ht="15.75" customHeight="1">
      <c r="A52" s="7">
        <v>6477902.0</v>
      </c>
      <c r="B52" s="9">
        <v>45916.0</v>
      </c>
      <c r="C52" s="7">
        <v>5.0</v>
      </c>
      <c r="D52" s="7" t="s">
        <v>82</v>
      </c>
      <c r="E52" s="7" t="s">
        <v>209</v>
      </c>
      <c r="F52" s="7" t="s">
        <v>55</v>
      </c>
      <c r="G52" s="12" t="s">
        <v>228</v>
      </c>
      <c r="H52" s="12" t="s">
        <v>78</v>
      </c>
    </row>
    <row r="53" ht="15.75" customHeight="1">
      <c r="A53" s="7">
        <v>188303.0</v>
      </c>
      <c r="B53" s="9">
        <v>45911.0</v>
      </c>
      <c r="C53" s="7">
        <v>1.0</v>
      </c>
      <c r="D53" s="7" t="s">
        <v>79</v>
      </c>
      <c r="E53" s="7" t="s">
        <v>124</v>
      </c>
      <c r="F53" s="7" t="s">
        <v>55</v>
      </c>
      <c r="G53" s="12" t="s">
        <v>234</v>
      </c>
      <c r="H53" s="12" t="s">
        <v>71</v>
      </c>
    </row>
    <row r="54" ht="15.75" customHeight="1">
      <c r="A54" s="7">
        <v>648473.0</v>
      </c>
      <c r="B54" s="9">
        <v>45911.0</v>
      </c>
      <c r="C54" s="7">
        <v>3.0</v>
      </c>
      <c r="D54" s="7" t="s">
        <v>53</v>
      </c>
      <c r="E54" s="7" t="s">
        <v>66</v>
      </c>
      <c r="F54" s="7" t="s">
        <v>55</v>
      </c>
      <c r="G54" s="12" t="s">
        <v>239</v>
      </c>
      <c r="H54" s="12" t="s">
        <v>68</v>
      </c>
    </row>
    <row r="55" ht="15.75" customHeight="1">
      <c r="A55" s="7">
        <v>7027423.0</v>
      </c>
      <c r="B55" s="9">
        <v>45911.0</v>
      </c>
      <c r="C55" s="7">
        <v>3.0</v>
      </c>
      <c r="D55" s="7" t="s">
        <v>53</v>
      </c>
      <c r="E55" s="7" t="s">
        <v>66</v>
      </c>
      <c r="F55" s="7" t="s">
        <v>55</v>
      </c>
      <c r="G55" s="12" t="s">
        <v>247</v>
      </c>
      <c r="H55" s="12" t="s">
        <v>78</v>
      </c>
    </row>
    <row r="56" ht="15.75" customHeight="1">
      <c r="A56" s="7">
        <v>7121450.0</v>
      </c>
      <c r="B56" s="9">
        <v>45904.0</v>
      </c>
      <c r="C56" s="7">
        <v>7.0</v>
      </c>
      <c r="D56" s="7" t="s">
        <v>79</v>
      </c>
      <c r="E56" s="7" t="s">
        <v>142</v>
      </c>
      <c r="F56" s="7" t="s">
        <v>55</v>
      </c>
      <c r="G56" s="12" t="s">
        <v>251</v>
      </c>
      <c r="H56" s="12" t="s">
        <v>78</v>
      </c>
    </row>
    <row r="57" ht="15.75" customHeight="1">
      <c r="A57" s="7">
        <v>6857371.0</v>
      </c>
      <c r="B57" s="9">
        <v>45901.0</v>
      </c>
      <c r="C57" s="7">
        <v>6.0</v>
      </c>
      <c r="D57" s="7" t="s">
        <v>79</v>
      </c>
      <c r="E57" s="7" t="s">
        <v>110</v>
      </c>
      <c r="F57" s="7" t="s">
        <v>55</v>
      </c>
      <c r="G57" s="12" t="s">
        <v>257</v>
      </c>
      <c r="H57" s="12" t="s">
        <v>78</v>
      </c>
    </row>
    <row r="58" ht="15.75" customHeight="1">
      <c r="A58" s="7">
        <v>6636811.0</v>
      </c>
      <c r="B58" s="9">
        <v>45898.0</v>
      </c>
      <c r="C58" s="7">
        <v>6.0</v>
      </c>
      <c r="D58" s="7" t="s">
        <v>53</v>
      </c>
      <c r="E58" s="7" t="s">
        <v>66</v>
      </c>
      <c r="F58" s="7" t="s">
        <v>55</v>
      </c>
      <c r="G58" s="12" t="s">
        <v>260</v>
      </c>
      <c r="H58" s="12" t="s">
        <v>78</v>
      </c>
    </row>
    <row r="59" ht="15.75" customHeight="1">
      <c r="A59" s="7">
        <v>3096850.0</v>
      </c>
      <c r="B59" s="9">
        <v>45897.0</v>
      </c>
      <c r="C59" s="7">
        <v>1.0</v>
      </c>
      <c r="D59" s="7" t="s">
        <v>53</v>
      </c>
      <c r="E59" s="7" t="s">
        <v>83</v>
      </c>
      <c r="F59" s="7" t="s">
        <v>55</v>
      </c>
      <c r="G59" s="12" t="s">
        <v>292</v>
      </c>
      <c r="H59" s="12" t="s">
        <v>78</v>
      </c>
    </row>
    <row r="60" ht="15.75" customHeight="1">
      <c r="A60" s="7">
        <v>6712333.0</v>
      </c>
      <c r="B60" s="9">
        <v>45895.0</v>
      </c>
      <c r="C60" s="7">
        <v>3.0</v>
      </c>
      <c r="D60" s="7" t="s">
        <v>82</v>
      </c>
      <c r="E60" s="7" t="s">
        <v>272</v>
      </c>
      <c r="F60" s="7" t="s">
        <v>55</v>
      </c>
      <c r="G60" s="12" t="s">
        <v>305</v>
      </c>
      <c r="H60" s="12" t="s">
        <v>68</v>
      </c>
    </row>
    <row r="61" ht="15.75" customHeight="1">
      <c r="A61" s="7">
        <v>6561838.0</v>
      </c>
      <c r="B61" s="9">
        <v>45877.0</v>
      </c>
      <c r="C61" s="7">
        <v>7.0</v>
      </c>
      <c r="D61" s="7" t="s">
        <v>53</v>
      </c>
      <c r="E61" s="7" t="s">
        <v>66</v>
      </c>
      <c r="F61" s="7" t="s">
        <v>55</v>
      </c>
      <c r="G61" s="12" t="s">
        <v>312</v>
      </c>
      <c r="H61" s="12" t="s">
        <v>71</v>
      </c>
    </row>
    <row r="62" ht="15.75" customHeight="1">
      <c r="A62" s="7">
        <v>2037779.0</v>
      </c>
      <c r="B62" s="9">
        <v>45871.0</v>
      </c>
      <c r="C62" s="7">
        <v>6.0</v>
      </c>
      <c r="D62" s="7" t="s">
        <v>53</v>
      </c>
      <c r="E62" s="7" t="s">
        <v>209</v>
      </c>
      <c r="F62" s="7" t="s">
        <v>55</v>
      </c>
      <c r="G62" s="12" t="s">
        <v>315</v>
      </c>
      <c r="H62" s="12" t="s">
        <v>75</v>
      </c>
    </row>
    <row r="63" ht="15.75" customHeight="1">
      <c r="A63" s="7">
        <v>5928272.0</v>
      </c>
      <c r="B63" s="9">
        <v>45862.0</v>
      </c>
      <c r="C63" s="7">
        <v>4.0</v>
      </c>
      <c r="D63" s="7" t="s">
        <v>53</v>
      </c>
      <c r="E63" s="7" t="s">
        <v>142</v>
      </c>
      <c r="F63" s="7" t="s">
        <v>55</v>
      </c>
      <c r="G63" s="12" t="s">
        <v>318</v>
      </c>
      <c r="H63" s="12" t="s">
        <v>68</v>
      </c>
    </row>
    <row r="64" ht="15.75" customHeight="1">
      <c r="A64" s="7">
        <v>1213481.0</v>
      </c>
      <c r="B64" s="9">
        <v>45860.0</v>
      </c>
      <c r="C64" s="7">
        <v>1.0</v>
      </c>
      <c r="D64" s="7" t="s">
        <v>53</v>
      </c>
      <c r="E64" s="7" t="s">
        <v>80</v>
      </c>
      <c r="F64" s="7" t="s">
        <v>55</v>
      </c>
      <c r="G64" s="12" t="s">
        <v>321</v>
      </c>
      <c r="H64" s="12" t="s">
        <v>78</v>
      </c>
    </row>
    <row r="65" ht="15.75" customHeight="1">
      <c r="A65" s="7">
        <v>5791044.0</v>
      </c>
      <c r="B65" s="9">
        <v>45860.0</v>
      </c>
      <c r="C65" s="7">
        <v>8.0</v>
      </c>
      <c r="D65" s="7" t="s">
        <v>76</v>
      </c>
      <c r="E65" s="7" t="s">
        <v>110</v>
      </c>
      <c r="F65" s="7" t="s">
        <v>55</v>
      </c>
      <c r="G65" s="12" t="s">
        <v>325</v>
      </c>
      <c r="H65" s="12" t="s">
        <v>78</v>
      </c>
    </row>
    <row r="66" ht="15.75" customHeight="1">
      <c r="A66" s="7">
        <v>7217695.0</v>
      </c>
      <c r="B66" s="9">
        <v>45859.0</v>
      </c>
      <c r="C66" s="7">
        <v>9.0</v>
      </c>
      <c r="D66" s="7" t="s">
        <v>53</v>
      </c>
      <c r="E66" s="7" t="s">
        <v>142</v>
      </c>
      <c r="F66" s="7" t="s">
        <v>55</v>
      </c>
      <c r="G66" s="12" t="s">
        <v>329</v>
      </c>
      <c r="H66" s="12" t="s">
        <v>75</v>
      </c>
    </row>
    <row r="67" ht="15.75" customHeight="1">
      <c r="A67" s="7">
        <v>240914.0</v>
      </c>
      <c r="B67" s="9">
        <v>45854.0</v>
      </c>
      <c r="C67" s="7">
        <v>6.0</v>
      </c>
      <c r="D67" s="7" t="s">
        <v>53</v>
      </c>
      <c r="E67" s="7" t="s">
        <v>66</v>
      </c>
      <c r="F67" s="7" t="s">
        <v>55</v>
      </c>
      <c r="G67" s="12" t="s">
        <v>332</v>
      </c>
      <c r="H67" s="12" t="s">
        <v>71</v>
      </c>
    </row>
    <row r="68" ht="15.75" customHeight="1">
      <c r="A68" s="7">
        <v>7010519.0</v>
      </c>
      <c r="B68" s="9">
        <v>45839.0</v>
      </c>
      <c r="C68" s="7">
        <v>6.0</v>
      </c>
      <c r="D68" s="7" t="s">
        <v>79</v>
      </c>
      <c r="E68" s="7" t="s">
        <v>80</v>
      </c>
      <c r="F68" s="7" t="s">
        <v>55</v>
      </c>
      <c r="G68" s="12" t="s">
        <v>335</v>
      </c>
      <c r="H68" s="12" t="s">
        <v>78</v>
      </c>
    </row>
    <row r="69" ht="15.75" customHeight="1">
      <c r="A69" s="7">
        <v>2959432.0</v>
      </c>
      <c r="B69" s="9">
        <v>45832.0</v>
      </c>
      <c r="C69" s="7">
        <v>2.0</v>
      </c>
      <c r="D69" s="7" t="s">
        <v>79</v>
      </c>
      <c r="E69" s="7" t="s">
        <v>110</v>
      </c>
      <c r="F69" s="7" t="s">
        <v>55</v>
      </c>
      <c r="G69" s="12" t="s">
        <v>340</v>
      </c>
      <c r="H69" s="12" t="s">
        <v>78</v>
      </c>
    </row>
    <row r="70" ht="15.75" customHeight="1">
      <c r="A70" s="7">
        <v>5647086.0</v>
      </c>
      <c r="B70" s="9">
        <v>45807.0</v>
      </c>
      <c r="C70" s="7">
        <v>8.0</v>
      </c>
      <c r="D70" s="7" t="s">
        <v>53</v>
      </c>
      <c r="E70" s="7" t="s">
        <v>80</v>
      </c>
      <c r="F70" s="7" t="s">
        <v>55</v>
      </c>
      <c r="G70" s="12" t="s">
        <v>344</v>
      </c>
      <c r="H70" s="12" t="s">
        <v>78</v>
      </c>
    </row>
    <row r="71" ht="15.75" customHeight="1">
      <c r="A71" s="7">
        <v>180243.0</v>
      </c>
      <c r="B71" s="9">
        <v>45796.0</v>
      </c>
      <c r="C71" s="7">
        <v>1.0</v>
      </c>
      <c r="D71" s="7" t="s">
        <v>82</v>
      </c>
      <c r="E71" s="7" t="s">
        <v>347</v>
      </c>
      <c r="F71" s="7" t="s">
        <v>55</v>
      </c>
      <c r="G71" s="12" t="s">
        <v>348</v>
      </c>
      <c r="H71" s="12" t="s">
        <v>78</v>
      </c>
    </row>
    <row r="72" ht="15.75" customHeight="1">
      <c r="A72" s="7">
        <v>3836964.0</v>
      </c>
      <c r="B72" s="9">
        <v>45793.0</v>
      </c>
      <c r="C72" s="7">
        <v>1.0</v>
      </c>
      <c r="D72" s="7" t="s">
        <v>53</v>
      </c>
      <c r="E72" s="7" t="s">
        <v>66</v>
      </c>
      <c r="F72" s="7" t="s">
        <v>55</v>
      </c>
      <c r="G72" s="12" t="s">
        <v>353</v>
      </c>
      <c r="H72" s="12" t="s">
        <v>75</v>
      </c>
    </row>
    <row r="73" ht="15.75" customHeight="1">
      <c r="A73" s="7">
        <v>4268534.0</v>
      </c>
      <c r="B73" s="9">
        <v>45791.0</v>
      </c>
      <c r="C73" s="7">
        <v>4.0</v>
      </c>
      <c r="D73" s="7" t="s">
        <v>53</v>
      </c>
      <c r="E73" s="7" t="s">
        <v>66</v>
      </c>
      <c r="F73" s="7" t="s">
        <v>55</v>
      </c>
      <c r="G73" s="12" t="s">
        <v>354</v>
      </c>
      <c r="H73" s="12" t="s">
        <v>78</v>
      </c>
    </row>
    <row r="74" ht="15.75" customHeight="1">
      <c r="A74" s="7">
        <v>4910872.0</v>
      </c>
      <c r="B74" s="9">
        <v>45790.0</v>
      </c>
      <c r="C74" s="7">
        <v>3.0</v>
      </c>
      <c r="D74" s="7" t="s">
        <v>53</v>
      </c>
      <c r="E74" s="7" t="s">
        <v>357</v>
      </c>
      <c r="F74" s="7" t="s">
        <v>55</v>
      </c>
      <c r="G74" s="12" t="s">
        <v>359</v>
      </c>
      <c r="H74" s="12" t="s">
        <v>78</v>
      </c>
    </row>
    <row r="75" ht="15.75" customHeight="1">
      <c r="A75" s="7">
        <v>1440769.0</v>
      </c>
      <c r="B75" s="9">
        <v>45782.0</v>
      </c>
      <c r="C75" s="7">
        <v>10.0</v>
      </c>
      <c r="D75" s="7" t="s">
        <v>53</v>
      </c>
      <c r="E75" s="7" t="s">
        <v>80</v>
      </c>
      <c r="F75" s="7" t="s">
        <v>55</v>
      </c>
      <c r="G75" s="12" t="s">
        <v>362</v>
      </c>
      <c r="H75" s="12" t="s">
        <v>90</v>
      </c>
    </row>
    <row r="76" ht="15.75" customHeight="1">
      <c r="A76" s="7">
        <v>2817635.0</v>
      </c>
      <c r="B76" s="9">
        <v>45770.0</v>
      </c>
      <c r="C76" s="7">
        <v>1.0</v>
      </c>
      <c r="D76" s="7" t="s">
        <v>82</v>
      </c>
      <c r="E76" s="7" t="s">
        <v>142</v>
      </c>
      <c r="F76" s="7" t="s">
        <v>55</v>
      </c>
      <c r="G76" s="12" t="s">
        <v>365</v>
      </c>
      <c r="H76" s="12" t="s">
        <v>78</v>
      </c>
    </row>
    <row r="77" ht="15.75" customHeight="1">
      <c r="A77" s="7">
        <v>5791044.0</v>
      </c>
      <c r="B77" s="9">
        <v>45769.0</v>
      </c>
      <c r="C77" s="7">
        <v>4.0</v>
      </c>
      <c r="D77" s="7" t="s">
        <v>76</v>
      </c>
      <c r="E77" s="7" t="s">
        <v>110</v>
      </c>
      <c r="F77" s="7" t="s">
        <v>55</v>
      </c>
      <c r="G77" s="12" t="s">
        <v>369</v>
      </c>
      <c r="H77" s="12" t="s">
        <v>78</v>
      </c>
    </row>
    <row r="78" ht="15.75" customHeight="1">
      <c r="A78" s="7">
        <v>2947674.0</v>
      </c>
      <c r="B78" s="9">
        <v>45768.0</v>
      </c>
      <c r="C78" s="7">
        <v>1.0</v>
      </c>
      <c r="D78" s="7" t="s">
        <v>79</v>
      </c>
      <c r="E78" s="7" t="s">
        <v>80</v>
      </c>
      <c r="F78" s="7" t="s">
        <v>55</v>
      </c>
      <c r="G78" s="12" t="s">
        <v>373</v>
      </c>
      <c r="H78" s="12" t="s">
        <v>78</v>
      </c>
    </row>
    <row r="79" ht="15.75" customHeight="1">
      <c r="A79" s="7">
        <v>950381.0</v>
      </c>
      <c r="B79" s="9">
        <v>45750.0</v>
      </c>
      <c r="C79" s="7">
        <v>5.0</v>
      </c>
      <c r="D79" s="7" t="s">
        <v>53</v>
      </c>
      <c r="E79" s="7" t="s">
        <v>66</v>
      </c>
      <c r="F79" s="7" t="s">
        <v>55</v>
      </c>
      <c r="G79" s="12" t="s">
        <v>378</v>
      </c>
      <c r="H79" s="12" t="s">
        <v>78</v>
      </c>
    </row>
    <row r="80" ht="15.75" customHeight="1">
      <c r="A80" s="7">
        <v>633632.0</v>
      </c>
      <c r="B80" s="9">
        <v>45741.0</v>
      </c>
      <c r="C80" s="7">
        <v>10.0</v>
      </c>
      <c r="D80" s="7" t="s">
        <v>53</v>
      </c>
      <c r="E80" s="7" t="s">
        <v>80</v>
      </c>
      <c r="F80" s="7" t="s">
        <v>55</v>
      </c>
      <c r="G80" s="12" t="s">
        <v>384</v>
      </c>
      <c r="H80" s="12" t="s">
        <v>78</v>
      </c>
    </row>
    <row r="81" ht="15.75" customHeight="1">
      <c r="A81" s="7">
        <v>3104832.0</v>
      </c>
      <c r="B81" s="9">
        <v>45741.0</v>
      </c>
      <c r="C81" s="7">
        <v>1.0</v>
      </c>
      <c r="D81" s="7" t="s">
        <v>82</v>
      </c>
      <c r="E81" s="7" t="s">
        <v>83</v>
      </c>
      <c r="F81" s="7" t="s">
        <v>55</v>
      </c>
      <c r="G81" s="12" t="s">
        <v>385</v>
      </c>
      <c r="H81" s="12" t="s">
        <v>78</v>
      </c>
    </row>
    <row r="82" ht="15.75" customHeight="1">
      <c r="A82" s="7">
        <v>6525727.0</v>
      </c>
      <c r="B82" s="9">
        <v>45733.0</v>
      </c>
      <c r="C82" s="7">
        <v>3.0</v>
      </c>
      <c r="D82" s="7" t="s">
        <v>79</v>
      </c>
      <c r="E82" s="7" t="s">
        <v>110</v>
      </c>
      <c r="F82" s="7" t="s">
        <v>55</v>
      </c>
      <c r="G82" s="12" t="s">
        <v>386</v>
      </c>
      <c r="H82" s="12" t="s">
        <v>78</v>
      </c>
    </row>
    <row r="83" ht="15.75" customHeight="1">
      <c r="A83" s="7">
        <v>1487682.0</v>
      </c>
      <c r="B83" s="9">
        <v>45719.0</v>
      </c>
      <c r="C83" s="7">
        <v>2.0</v>
      </c>
      <c r="D83" s="7" t="s">
        <v>82</v>
      </c>
      <c r="E83" s="7" t="s">
        <v>124</v>
      </c>
      <c r="F83" s="7" t="s">
        <v>55</v>
      </c>
      <c r="G83" s="12" t="s">
        <v>388</v>
      </c>
      <c r="H83" s="12" t="s">
        <v>68</v>
      </c>
    </row>
    <row r="84" ht="15.75" customHeight="1">
      <c r="A84" s="7">
        <v>3176600.0</v>
      </c>
      <c r="B84" s="9">
        <v>45708.0</v>
      </c>
      <c r="C84" s="7">
        <v>6.0</v>
      </c>
      <c r="D84" s="7" t="s">
        <v>82</v>
      </c>
      <c r="E84" s="7" t="s">
        <v>80</v>
      </c>
      <c r="F84" s="7" t="s">
        <v>55</v>
      </c>
      <c r="G84" s="12" t="s">
        <v>390</v>
      </c>
      <c r="H84" s="12" t="s">
        <v>78</v>
      </c>
    </row>
    <row r="85" ht="15.75" customHeight="1">
      <c r="A85" s="7">
        <v>6264605.0</v>
      </c>
      <c r="B85" s="9">
        <v>45702.0</v>
      </c>
      <c r="C85" s="7">
        <v>7.0</v>
      </c>
      <c r="D85" s="7" t="s">
        <v>53</v>
      </c>
      <c r="E85" s="7" t="s">
        <v>119</v>
      </c>
      <c r="F85" s="7" t="s">
        <v>55</v>
      </c>
      <c r="G85" s="12" t="s">
        <v>391</v>
      </c>
      <c r="H85" s="12" t="s">
        <v>78</v>
      </c>
    </row>
    <row r="86" ht="15.75" customHeight="1">
      <c r="A86" s="7">
        <v>569403.0</v>
      </c>
      <c r="B86" s="9">
        <v>45694.0</v>
      </c>
      <c r="C86" s="7">
        <v>6.0</v>
      </c>
      <c r="D86" s="7" t="s">
        <v>53</v>
      </c>
      <c r="E86" s="7" t="s">
        <v>66</v>
      </c>
      <c r="F86" s="7" t="s">
        <v>55</v>
      </c>
      <c r="G86" s="12" t="s">
        <v>395</v>
      </c>
      <c r="H86" s="12" t="s">
        <v>78</v>
      </c>
    </row>
    <row r="87" ht="15.75" customHeight="1">
      <c r="A87" s="7">
        <v>503127.0</v>
      </c>
      <c r="B87" s="9">
        <v>45690.0</v>
      </c>
      <c r="C87" s="7">
        <v>4.0</v>
      </c>
      <c r="D87" s="7" t="s">
        <v>53</v>
      </c>
      <c r="E87" s="7" t="s">
        <v>66</v>
      </c>
      <c r="F87" s="7" t="s">
        <v>55</v>
      </c>
      <c r="G87" s="12" t="s">
        <v>398</v>
      </c>
      <c r="H87" s="12" t="s">
        <v>78</v>
      </c>
    </row>
    <row r="88" ht="15.75" customHeight="1">
      <c r="A88" s="7">
        <v>852995.0</v>
      </c>
      <c r="B88" s="9">
        <v>45685.0</v>
      </c>
      <c r="C88" s="7">
        <v>8.0</v>
      </c>
      <c r="D88" s="7" t="s">
        <v>53</v>
      </c>
      <c r="E88" s="7" t="s">
        <v>142</v>
      </c>
      <c r="F88" s="7" t="s">
        <v>55</v>
      </c>
      <c r="G88" s="12" t="s">
        <v>401</v>
      </c>
      <c r="H88" s="12" t="s">
        <v>78</v>
      </c>
    </row>
    <row r="89" ht="15.75" customHeight="1">
      <c r="A89" s="7">
        <v>5520974.0</v>
      </c>
      <c r="B89" s="9">
        <v>45644.0</v>
      </c>
      <c r="C89" s="7">
        <v>8.0</v>
      </c>
      <c r="D89" s="7" t="s">
        <v>79</v>
      </c>
      <c r="E89" s="7" t="s">
        <v>142</v>
      </c>
      <c r="F89" s="7" t="s">
        <v>55</v>
      </c>
      <c r="G89" s="12" t="s">
        <v>403</v>
      </c>
      <c r="H89" s="12" t="s">
        <v>78</v>
      </c>
    </row>
    <row r="90" ht="15.75" customHeight="1">
      <c r="A90" s="7">
        <v>3105133.0</v>
      </c>
      <c r="B90" s="9">
        <v>45632.0</v>
      </c>
      <c r="C90" s="7">
        <v>4.0</v>
      </c>
      <c r="D90" s="7" t="s">
        <v>82</v>
      </c>
      <c r="E90" s="7" t="s">
        <v>83</v>
      </c>
      <c r="F90" s="7" t="s">
        <v>55</v>
      </c>
      <c r="G90" s="12" t="s">
        <v>405</v>
      </c>
      <c r="H90" s="12" t="s">
        <v>78</v>
      </c>
    </row>
    <row r="91" ht="15.75" customHeight="1">
      <c r="A91" s="7">
        <v>4031973.0</v>
      </c>
      <c r="B91" s="9">
        <v>45627.0</v>
      </c>
      <c r="C91" s="7">
        <v>7.0</v>
      </c>
      <c r="D91" s="7" t="s">
        <v>79</v>
      </c>
      <c r="E91" s="7" t="s">
        <v>80</v>
      </c>
      <c r="F91" s="7" t="s">
        <v>55</v>
      </c>
      <c r="G91" s="12" t="s">
        <v>408</v>
      </c>
      <c r="H91" s="12" t="s">
        <v>71</v>
      </c>
    </row>
    <row r="92" ht="15.75" customHeight="1">
      <c r="A92" s="7">
        <v>3096851.0</v>
      </c>
      <c r="B92" s="9">
        <v>45627.0</v>
      </c>
      <c r="C92" s="7">
        <v>1.0</v>
      </c>
      <c r="D92" s="7" t="s">
        <v>53</v>
      </c>
      <c r="E92" s="7" t="s">
        <v>83</v>
      </c>
      <c r="F92" s="7" t="s">
        <v>55</v>
      </c>
      <c r="G92" s="12" t="s">
        <v>411</v>
      </c>
      <c r="H92" s="12" t="s">
        <v>78</v>
      </c>
    </row>
    <row r="93" ht="15.75" customHeight="1">
      <c r="A93" s="7">
        <v>767062.0</v>
      </c>
      <c r="B93" s="9">
        <v>45621.0</v>
      </c>
      <c r="C93" s="7">
        <v>3.0</v>
      </c>
      <c r="D93" s="7" t="s">
        <v>79</v>
      </c>
      <c r="E93" s="7" t="s">
        <v>80</v>
      </c>
      <c r="F93" s="7" t="s">
        <v>55</v>
      </c>
      <c r="G93" s="12" t="s">
        <v>412</v>
      </c>
      <c r="H93" s="12" t="s">
        <v>71</v>
      </c>
    </row>
    <row r="94" ht="15.75" customHeight="1">
      <c r="A94" s="7">
        <v>1025323.0</v>
      </c>
      <c r="B94" s="9">
        <v>45604.0</v>
      </c>
      <c r="C94" s="7">
        <v>9.0</v>
      </c>
      <c r="D94" s="7" t="s">
        <v>53</v>
      </c>
      <c r="E94" s="7" t="s">
        <v>66</v>
      </c>
      <c r="F94" s="7" t="s">
        <v>55</v>
      </c>
      <c r="G94" s="12" t="s">
        <v>413</v>
      </c>
      <c r="H94" s="12" t="s">
        <v>78</v>
      </c>
    </row>
    <row r="95" ht="15.75" customHeight="1">
      <c r="A95" s="7">
        <v>5674668.0</v>
      </c>
      <c r="B95" s="9">
        <v>45600.0</v>
      </c>
      <c r="C95" s="7">
        <v>9.0</v>
      </c>
      <c r="D95" s="7" t="s">
        <v>79</v>
      </c>
      <c r="E95" s="7" t="s">
        <v>142</v>
      </c>
      <c r="F95" s="7" t="s">
        <v>55</v>
      </c>
      <c r="G95" s="12" t="s">
        <v>416</v>
      </c>
      <c r="H95" s="12" t="s">
        <v>71</v>
      </c>
    </row>
    <row r="96" ht="15.75" customHeight="1">
      <c r="A96" s="7">
        <v>3810068.0</v>
      </c>
      <c r="B96" s="9">
        <v>45598.0</v>
      </c>
      <c r="C96" s="7">
        <v>5.0</v>
      </c>
      <c r="D96" s="7" t="s">
        <v>53</v>
      </c>
      <c r="E96" s="7" t="s">
        <v>80</v>
      </c>
      <c r="F96" s="7" t="s">
        <v>55</v>
      </c>
      <c r="G96" s="12" t="s">
        <v>419</v>
      </c>
      <c r="H96" s="12" t="s">
        <v>78</v>
      </c>
    </row>
    <row r="97" ht="15.75" customHeight="1">
      <c r="A97" s="7">
        <v>572728.0</v>
      </c>
      <c r="B97" s="9">
        <v>45594.0</v>
      </c>
      <c r="C97" s="7">
        <v>7.0</v>
      </c>
      <c r="D97" s="7" t="s">
        <v>53</v>
      </c>
      <c r="E97" s="7" t="s">
        <v>66</v>
      </c>
      <c r="F97" s="7" t="s">
        <v>55</v>
      </c>
      <c r="G97" s="12" t="s">
        <v>421</v>
      </c>
      <c r="H97" s="12" t="s">
        <v>75</v>
      </c>
    </row>
    <row r="98" ht="15.75" customHeight="1">
      <c r="A98" s="7">
        <v>2155119.0</v>
      </c>
      <c r="B98" s="9">
        <v>45577.0</v>
      </c>
      <c r="C98" s="7">
        <v>6.0</v>
      </c>
      <c r="D98" s="7" t="s">
        <v>53</v>
      </c>
      <c r="E98" s="7" t="s">
        <v>80</v>
      </c>
      <c r="F98" s="7" t="s">
        <v>55</v>
      </c>
      <c r="G98" s="12" t="s">
        <v>427</v>
      </c>
      <c r="H98" s="12" t="s">
        <v>78</v>
      </c>
    </row>
    <row r="99" ht="15.75" customHeight="1">
      <c r="A99" s="7">
        <v>3351935.0</v>
      </c>
      <c r="B99" s="9">
        <v>45561.0</v>
      </c>
      <c r="C99" s="7">
        <v>3.0</v>
      </c>
      <c r="D99" s="7" t="s">
        <v>79</v>
      </c>
      <c r="E99" s="7" t="s">
        <v>80</v>
      </c>
      <c r="F99" s="7" t="s">
        <v>55</v>
      </c>
      <c r="G99" s="12" t="s">
        <v>428</v>
      </c>
      <c r="H99" s="12" t="s">
        <v>78</v>
      </c>
    </row>
    <row r="100" ht="15.75" customHeight="1">
      <c r="A100" s="7">
        <v>1570688.0</v>
      </c>
      <c r="B100" s="9">
        <v>45554.0</v>
      </c>
      <c r="C100" s="7">
        <v>5.0</v>
      </c>
      <c r="D100" s="7" t="s">
        <v>53</v>
      </c>
      <c r="E100" s="7" t="s">
        <v>66</v>
      </c>
      <c r="F100" s="7" t="s">
        <v>55</v>
      </c>
      <c r="G100" s="12" t="s">
        <v>429</v>
      </c>
      <c r="H100" s="12" t="s">
        <v>75</v>
      </c>
    </row>
    <row r="101" ht="15.75" customHeight="1">
      <c r="A101" s="7">
        <v>4961539.0</v>
      </c>
      <c r="B101" s="9">
        <v>45552.0</v>
      </c>
      <c r="C101" s="7">
        <v>2.0</v>
      </c>
      <c r="D101" s="7" t="s">
        <v>53</v>
      </c>
      <c r="E101" s="7" t="s">
        <v>80</v>
      </c>
      <c r="F101" s="7" t="s">
        <v>55</v>
      </c>
      <c r="G101" s="12" t="s">
        <v>430</v>
      </c>
      <c r="H101" s="12" t="s">
        <v>78</v>
      </c>
    </row>
    <row r="102" ht="15.75" customHeight="1">
      <c r="A102" s="7">
        <v>5608178.0</v>
      </c>
      <c r="B102" s="9">
        <v>45551.0</v>
      </c>
      <c r="C102" s="7">
        <v>2.0</v>
      </c>
      <c r="D102" s="7" t="s">
        <v>53</v>
      </c>
      <c r="E102" s="7" t="s">
        <v>80</v>
      </c>
      <c r="F102" s="7" t="s">
        <v>55</v>
      </c>
      <c r="G102" s="12" t="s">
        <v>431</v>
      </c>
      <c r="H102" s="12" t="s">
        <v>71</v>
      </c>
    </row>
    <row r="103" ht="15.75" customHeight="1">
      <c r="A103" s="7">
        <v>2934420.0</v>
      </c>
      <c r="B103" s="9">
        <v>45547.0</v>
      </c>
      <c r="C103" s="7">
        <v>8.0</v>
      </c>
      <c r="D103" s="7" t="s">
        <v>79</v>
      </c>
      <c r="E103" s="7" t="s">
        <v>80</v>
      </c>
      <c r="F103" s="7" t="s">
        <v>55</v>
      </c>
      <c r="G103" s="12" t="s">
        <v>432</v>
      </c>
      <c r="H103" s="12" t="s">
        <v>78</v>
      </c>
    </row>
    <row r="104" ht="15.75" customHeight="1">
      <c r="A104" s="7">
        <v>5173025.0</v>
      </c>
      <c r="B104" s="9">
        <v>45542.0</v>
      </c>
      <c r="C104" s="7">
        <v>7.0</v>
      </c>
      <c r="D104" s="7" t="s">
        <v>79</v>
      </c>
      <c r="E104" s="7" t="s">
        <v>80</v>
      </c>
      <c r="F104" s="7" t="s">
        <v>55</v>
      </c>
      <c r="G104" s="12" t="s">
        <v>433</v>
      </c>
      <c r="H104" s="12" t="s">
        <v>103</v>
      </c>
    </row>
    <row r="105" ht="15.75" customHeight="1">
      <c r="A105" s="7">
        <v>2930562.0</v>
      </c>
      <c r="B105" s="9">
        <v>45538.0</v>
      </c>
      <c r="C105" s="7">
        <v>8.0</v>
      </c>
      <c r="D105" s="7" t="s">
        <v>53</v>
      </c>
      <c r="E105" s="7" t="s">
        <v>66</v>
      </c>
      <c r="F105" s="7" t="s">
        <v>55</v>
      </c>
      <c r="G105" s="12" t="s">
        <v>434</v>
      </c>
      <c r="H105" s="12" t="s">
        <v>78</v>
      </c>
    </row>
    <row r="106" ht="15.75" customHeight="1">
      <c r="A106" s="7">
        <v>3096850.0</v>
      </c>
      <c r="B106" s="9">
        <v>45533.0</v>
      </c>
      <c r="C106" s="7">
        <v>1.0</v>
      </c>
      <c r="D106" s="7" t="s">
        <v>53</v>
      </c>
      <c r="E106" s="7" t="s">
        <v>83</v>
      </c>
      <c r="F106" s="7" t="s">
        <v>55</v>
      </c>
      <c r="G106" s="12" t="s">
        <v>435</v>
      </c>
      <c r="H106" s="12" t="s">
        <v>78</v>
      </c>
    </row>
    <row r="107" ht="15.75" customHeight="1">
      <c r="A107" s="7">
        <v>5548145.0</v>
      </c>
      <c r="B107" s="9">
        <v>45527.0</v>
      </c>
      <c r="C107" s="7">
        <v>7.0</v>
      </c>
      <c r="D107" s="7" t="s">
        <v>82</v>
      </c>
      <c r="E107" s="7" t="s">
        <v>138</v>
      </c>
      <c r="F107" s="7" t="s">
        <v>55</v>
      </c>
      <c r="G107" s="12" t="s">
        <v>436</v>
      </c>
      <c r="H107" s="12" t="s">
        <v>68</v>
      </c>
    </row>
    <row r="108" ht="15.75" customHeight="1">
      <c r="A108" s="7">
        <v>3374249.0</v>
      </c>
      <c r="B108" s="9">
        <v>45526.0</v>
      </c>
      <c r="C108" s="7">
        <v>8.0</v>
      </c>
      <c r="D108" s="7" t="s">
        <v>82</v>
      </c>
      <c r="E108" s="7" t="s">
        <v>142</v>
      </c>
      <c r="F108" s="7" t="s">
        <v>55</v>
      </c>
      <c r="G108" s="12" t="s">
        <v>437</v>
      </c>
      <c r="H108" s="12" t="s">
        <v>78</v>
      </c>
    </row>
    <row r="109" ht="15.75" customHeight="1">
      <c r="A109" s="7">
        <v>4333580.0</v>
      </c>
      <c r="B109" s="9">
        <v>45523.0</v>
      </c>
      <c r="C109" s="7">
        <v>1.0</v>
      </c>
      <c r="D109" s="7" t="s">
        <v>79</v>
      </c>
      <c r="E109" s="7" t="s">
        <v>80</v>
      </c>
      <c r="F109" s="7" t="s">
        <v>55</v>
      </c>
      <c r="G109" s="12" t="s">
        <v>438</v>
      </c>
      <c r="H109" s="12" t="s">
        <v>78</v>
      </c>
    </row>
    <row r="110" ht="15.75" customHeight="1">
      <c r="A110" s="7">
        <v>3836964.0</v>
      </c>
      <c r="B110" s="9">
        <v>45517.0</v>
      </c>
      <c r="C110" s="7">
        <v>3.0</v>
      </c>
      <c r="D110" s="7" t="s">
        <v>53</v>
      </c>
      <c r="E110" s="7" t="s">
        <v>66</v>
      </c>
      <c r="F110" s="7" t="s">
        <v>55</v>
      </c>
      <c r="G110" s="12" t="s">
        <v>439</v>
      </c>
      <c r="H110" s="12" t="s">
        <v>75</v>
      </c>
    </row>
    <row r="111" ht="15.75" customHeight="1">
      <c r="A111" s="7">
        <v>2797597.0</v>
      </c>
      <c r="B111" s="9">
        <v>45493.0</v>
      </c>
      <c r="C111" s="7">
        <v>0.0</v>
      </c>
      <c r="D111" s="7" t="s">
        <v>79</v>
      </c>
      <c r="E111" s="7" t="s">
        <v>80</v>
      </c>
      <c r="F111" s="7" t="s">
        <v>55</v>
      </c>
      <c r="G111" s="12" t="s">
        <v>440</v>
      </c>
      <c r="H111" s="12" t="s">
        <v>68</v>
      </c>
    </row>
    <row r="112" ht="15.75" customHeight="1">
      <c r="A112" s="7">
        <v>3099555.0</v>
      </c>
      <c r="B112" s="9">
        <v>45489.0</v>
      </c>
      <c r="C112" s="7">
        <v>2.0</v>
      </c>
      <c r="D112" s="7" t="s">
        <v>82</v>
      </c>
      <c r="E112" s="7" t="s">
        <v>83</v>
      </c>
      <c r="F112" s="7" t="s">
        <v>55</v>
      </c>
      <c r="G112" s="12" t="s">
        <v>441</v>
      </c>
      <c r="H112" s="12" t="s">
        <v>71</v>
      </c>
    </row>
    <row r="113" ht="15.75" customHeight="1">
      <c r="A113" s="7">
        <v>4187703.0</v>
      </c>
      <c r="B113" s="9">
        <v>45484.0</v>
      </c>
      <c r="C113" s="7">
        <v>7.0</v>
      </c>
      <c r="D113" s="7" t="s">
        <v>53</v>
      </c>
      <c r="E113" s="7" t="s">
        <v>80</v>
      </c>
      <c r="F113" s="7" t="s">
        <v>55</v>
      </c>
      <c r="G113" s="12" t="s">
        <v>442</v>
      </c>
      <c r="H113" s="12" t="s">
        <v>71</v>
      </c>
    </row>
    <row r="114" ht="15.75" customHeight="1">
      <c r="A114" s="7">
        <v>310833.0</v>
      </c>
      <c r="B114" s="9">
        <v>45471.0</v>
      </c>
      <c r="C114" s="7">
        <v>1.0</v>
      </c>
      <c r="D114" s="7" t="s">
        <v>53</v>
      </c>
      <c r="E114" s="7" t="s">
        <v>66</v>
      </c>
      <c r="F114" s="7" t="s">
        <v>55</v>
      </c>
      <c r="G114" s="12" t="s">
        <v>443</v>
      </c>
      <c r="H114" s="12" t="s">
        <v>68</v>
      </c>
    </row>
    <row r="115" ht="15.75" customHeight="1">
      <c r="A115" s="7">
        <v>3096851.0</v>
      </c>
      <c r="B115" s="9">
        <v>45455.0</v>
      </c>
      <c r="C115" s="7">
        <v>1.0</v>
      </c>
      <c r="D115" s="7" t="s">
        <v>53</v>
      </c>
      <c r="E115" s="7" t="s">
        <v>83</v>
      </c>
      <c r="F115" s="7" t="s">
        <v>55</v>
      </c>
      <c r="G115" s="12" t="s">
        <v>444</v>
      </c>
      <c r="H115" s="12" t="s">
        <v>78</v>
      </c>
    </row>
    <row r="116" ht="15.75" customHeight="1">
      <c r="A116" s="7">
        <v>3713253.0</v>
      </c>
      <c r="B116" s="9">
        <v>45439.0</v>
      </c>
      <c r="C116" s="7">
        <v>6.0</v>
      </c>
      <c r="D116" s="7" t="s">
        <v>53</v>
      </c>
      <c r="E116" s="7" t="s">
        <v>80</v>
      </c>
      <c r="F116" s="7" t="s">
        <v>55</v>
      </c>
      <c r="G116" s="12" t="s">
        <v>445</v>
      </c>
      <c r="H116" s="12" t="s">
        <v>78</v>
      </c>
    </row>
    <row r="117" ht="15.75" customHeight="1">
      <c r="A117" s="7">
        <v>180243.0</v>
      </c>
      <c r="B117" s="9">
        <v>45435.0</v>
      </c>
      <c r="C117" s="7">
        <v>1.0</v>
      </c>
      <c r="D117" s="7" t="s">
        <v>82</v>
      </c>
      <c r="E117" s="7" t="s">
        <v>347</v>
      </c>
      <c r="F117" s="7" t="s">
        <v>55</v>
      </c>
      <c r="G117" s="12" t="s">
        <v>446</v>
      </c>
      <c r="H117" s="12" t="s">
        <v>78</v>
      </c>
    </row>
    <row r="118" ht="15.75" customHeight="1">
      <c r="A118" s="7">
        <v>3931123.0</v>
      </c>
      <c r="B118" s="9">
        <v>45433.0</v>
      </c>
      <c r="C118" s="7">
        <v>7.0</v>
      </c>
      <c r="D118" s="7" t="s">
        <v>79</v>
      </c>
      <c r="E118" s="7" t="s">
        <v>142</v>
      </c>
      <c r="F118" s="7" t="s">
        <v>55</v>
      </c>
      <c r="G118" s="12" t="s">
        <v>447</v>
      </c>
      <c r="H118" s="12" t="s">
        <v>78</v>
      </c>
    </row>
    <row r="119" ht="15.75" customHeight="1">
      <c r="A119" s="7">
        <v>3054174.0</v>
      </c>
      <c r="B119" s="9">
        <v>45432.0</v>
      </c>
      <c r="C119" s="7">
        <v>2.0</v>
      </c>
      <c r="D119" s="7" t="s">
        <v>53</v>
      </c>
      <c r="E119" s="7" t="s">
        <v>66</v>
      </c>
      <c r="F119" s="7" t="s">
        <v>55</v>
      </c>
      <c r="G119" s="12" t="s">
        <v>448</v>
      </c>
      <c r="H119" s="12" t="s">
        <v>68</v>
      </c>
    </row>
    <row r="120" ht="15.75" customHeight="1">
      <c r="A120" s="7">
        <v>419582.0</v>
      </c>
      <c r="B120" s="9">
        <v>45431.0</v>
      </c>
      <c r="C120" s="7">
        <v>8.0</v>
      </c>
      <c r="D120" s="7" t="s">
        <v>53</v>
      </c>
      <c r="E120" s="7" t="s">
        <v>66</v>
      </c>
      <c r="F120" s="7" t="s">
        <v>55</v>
      </c>
      <c r="G120" s="12" t="s">
        <v>449</v>
      </c>
      <c r="H120" s="12" t="s">
        <v>78</v>
      </c>
    </row>
    <row r="121" ht="15.75" customHeight="1">
      <c r="A121" s="7">
        <v>3836964.0</v>
      </c>
      <c r="B121" s="9">
        <v>45426.0</v>
      </c>
      <c r="C121" s="7">
        <v>1.0</v>
      </c>
      <c r="D121" s="7" t="s">
        <v>53</v>
      </c>
      <c r="E121" s="7" t="s">
        <v>66</v>
      </c>
      <c r="F121" s="7" t="s">
        <v>55</v>
      </c>
      <c r="G121" s="12" t="s">
        <v>450</v>
      </c>
      <c r="H121" s="12" t="s">
        <v>75</v>
      </c>
    </row>
    <row r="122" ht="15.75" customHeight="1">
      <c r="A122" s="7">
        <v>4153084.0</v>
      </c>
      <c r="B122" s="9">
        <v>45420.0</v>
      </c>
      <c r="C122" s="7">
        <v>1.0</v>
      </c>
      <c r="D122" s="7" t="s">
        <v>53</v>
      </c>
      <c r="E122" s="7" t="s">
        <v>66</v>
      </c>
      <c r="F122" s="7" t="s">
        <v>55</v>
      </c>
      <c r="G122" s="12" t="s">
        <v>451</v>
      </c>
      <c r="H122" s="12" t="s">
        <v>78</v>
      </c>
    </row>
    <row r="123" ht="15.75" customHeight="1">
      <c r="A123" s="7">
        <v>2825364.0</v>
      </c>
      <c r="B123" s="9">
        <v>45419.0</v>
      </c>
      <c r="C123" s="7">
        <v>3.0</v>
      </c>
      <c r="D123" s="7" t="s">
        <v>79</v>
      </c>
      <c r="E123" s="7" t="s">
        <v>80</v>
      </c>
      <c r="F123" s="7" t="s">
        <v>55</v>
      </c>
      <c r="G123" s="12" t="s">
        <v>452</v>
      </c>
      <c r="H123" s="12" t="s">
        <v>78</v>
      </c>
    </row>
    <row r="124" ht="15.75" customHeight="1">
      <c r="A124" s="7">
        <v>3393484.0</v>
      </c>
      <c r="B124" s="9">
        <v>45411.0</v>
      </c>
      <c r="C124" s="7">
        <v>3.0</v>
      </c>
      <c r="D124" s="7" t="s">
        <v>79</v>
      </c>
      <c r="E124" s="7" t="s">
        <v>381</v>
      </c>
      <c r="F124" s="7" t="s">
        <v>55</v>
      </c>
      <c r="G124" s="12" t="s">
        <v>453</v>
      </c>
      <c r="H124" s="12" t="s">
        <v>78</v>
      </c>
    </row>
    <row r="125" ht="15.75" customHeight="1">
      <c r="A125" s="7">
        <v>3098429.0</v>
      </c>
      <c r="B125" s="9">
        <v>45411.0</v>
      </c>
      <c r="C125" s="7">
        <v>6.0</v>
      </c>
      <c r="D125" s="7" t="s">
        <v>53</v>
      </c>
      <c r="E125" s="7" t="s">
        <v>83</v>
      </c>
      <c r="F125" s="7" t="s">
        <v>55</v>
      </c>
      <c r="G125" s="12" t="s">
        <v>454</v>
      </c>
      <c r="H125" s="12" t="s">
        <v>68</v>
      </c>
    </row>
    <row r="126" ht="15.75" customHeight="1">
      <c r="A126" s="7">
        <v>2205919.0</v>
      </c>
      <c r="B126" s="9">
        <v>45409.0</v>
      </c>
      <c r="C126" s="7">
        <v>6.0</v>
      </c>
      <c r="D126" s="7" t="s">
        <v>53</v>
      </c>
      <c r="E126" s="7" t="s">
        <v>66</v>
      </c>
      <c r="F126" s="7" t="s">
        <v>55</v>
      </c>
      <c r="G126" s="12" t="s">
        <v>455</v>
      </c>
      <c r="H126" s="12" t="s">
        <v>71</v>
      </c>
    </row>
    <row r="127" ht="15.75" customHeight="1">
      <c r="A127" s="7">
        <v>455686.0</v>
      </c>
      <c r="B127" s="9">
        <v>45401.0</v>
      </c>
      <c r="C127" s="7">
        <v>2.0</v>
      </c>
      <c r="D127" s="7" t="s">
        <v>79</v>
      </c>
      <c r="E127" s="7" t="s">
        <v>80</v>
      </c>
      <c r="F127" s="7" t="s">
        <v>55</v>
      </c>
      <c r="G127" s="12" t="s">
        <v>456</v>
      </c>
      <c r="H127" s="12" t="s">
        <v>78</v>
      </c>
    </row>
    <row r="128" ht="15.75" customHeight="1">
      <c r="A128" s="7">
        <v>259960.0</v>
      </c>
      <c r="B128" s="9">
        <v>45401.0</v>
      </c>
      <c r="C128" s="7">
        <v>6.0</v>
      </c>
      <c r="D128" s="7" t="s">
        <v>53</v>
      </c>
      <c r="E128" s="7" t="s">
        <v>66</v>
      </c>
      <c r="F128" s="7" t="s">
        <v>55</v>
      </c>
      <c r="G128" s="12" t="s">
        <v>457</v>
      </c>
      <c r="H128" s="12" t="s">
        <v>68</v>
      </c>
    </row>
    <row r="129" ht="15.75" customHeight="1">
      <c r="A129" s="7">
        <v>4600986.0</v>
      </c>
      <c r="B129" s="9">
        <v>45390.0</v>
      </c>
      <c r="C129" s="7">
        <v>10.0</v>
      </c>
      <c r="D129" s="7" t="s">
        <v>79</v>
      </c>
      <c r="E129" s="7" t="s">
        <v>80</v>
      </c>
      <c r="F129" s="7" t="s">
        <v>55</v>
      </c>
      <c r="G129" s="12" t="s">
        <v>458</v>
      </c>
      <c r="H129" s="12" t="s">
        <v>75</v>
      </c>
    </row>
    <row r="130" ht="15.75" customHeight="1">
      <c r="A130" s="7">
        <v>1274268.0</v>
      </c>
      <c r="B130" s="9">
        <v>45385.0</v>
      </c>
      <c r="C130" s="7">
        <v>1.0</v>
      </c>
      <c r="D130" s="7" t="s">
        <v>79</v>
      </c>
      <c r="E130" s="7" t="s">
        <v>142</v>
      </c>
      <c r="F130" s="7" t="s">
        <v>55</v>
      </c>
      <c r="G130" s="12" t="s">
        <v>459</v>
      </c>
      <c r="H130" s="12" t="s">
        <v>68</v>
      </c>
    </row>
    <row r="131" ht="15.75" customHeight="1">
      <c r="A131" s="7">
        <v>4547465.0</v>
      </c>
      <c r="B131" s="9">
        <v>45374.0</v>
      </c>
      <c r="C131" s="7">
        <v>1.0</v>
      </c>
      <c r="D131" s="7" t="s">
        <v>79</v>
      </c>
      <c r="E131" s="7" t="s">
        <v>80</v>
      </c>
      <c r="F131" s="7" t="s">
        <v>55</v>
      </c>
      <c r="G131" s="12" t="s">
        <v>460</v>
      </c>
      <c r="H131" s="12" t="s">
        <v>78</v>
      </c>
    </row>
    <row r="132" ht="15.75" customHeight="1">
      <c r="A132" s="7">
        <v>4616478.0</v>
      </c>
      <c r="B132" s="9">
        <v>45371.0</v>
      </c>
      <c r="C132" s="7">
        <v>2.0</v>
      </c>
      <c r="D132" s="7" t="s">
        <v>79</v>
      </c>
      <c r="E132" s="7" t="s">
        <v>80</v>
      </c>
      <c r="F132" s="7" t="s">
        <v>55</v>
      </c>
      <c r="G132" s="12" t="s">
        <v>461</v>
      </c>
      <c r="H132" s="12" t="s">
        <v>68</v>
      </c>
    </row>
    <row r="133" ht="15.75" customHeight="1">
      <c r="A133" s="7">
        <v>1277278.0</v>
      </c>
      <c r="B133" s="9">
        <v>45365.0</v>
      </c>
      <c r="C133" s="7">
        <v>3.0</v>
      </c>
      <c r="D133" s="7" t="s">
        <v>53</v>
      </c>
      <c r="E133" s="7" t="s">
        <v>66</v>
      </c>
      <c r="F133" s="7" t="s">
        <v>55</v>
      </c>
      <c r="G133" s="12" t="s">
        <v>462</v>
      </c>
      <c r="H133" s="12" t="s">
        <v>78</v>
      </c>
    </row>
    <row r="134" ht="15.75" customHeight="1">
      <c r="A134" s="7">
        <v>3098024.0</v>
      </c>
      <c r="B134" s="9">
        <v>45357.0</v>
      </c>
      <c r="C134" s="7">
        <v>8.0</v>
      </c>
      <c r="D134" s="7" t="s">
        <v>53</v>
      </c>
      <c r="E134" s="7" t="s">
        <v>83</v>
      </c>
      <c r="F134" s="7" t="s">
        <v>55</v>
      </c>
      <c r="G134" s="12" t="s">
        <v>463</v>
      </c>
      <c r="H134" s="12" t="s">
        <v>75</v>
      </c>
    </row>
    <row r="135" ht="15.75" customHeight="1">
      <c r="A135" s="7">
        <v>3096850.0</v>
      </c>
      <c r="B135" s="9">
        <v>45351.0</v>
      </c>
      <c r="C135" s="7">
        <v>1.0</v>
      </c>
      <c r="D135" s="7" t="s">
        <v>53</v>
      </c>
      <c r="E135" s="7" t="s">
        <v>83</v>
      </c>
      <c r="F135" s="7" t="s">
        <v>55</v>
      </c>
      <c r="G135" s="12" t="s">
        <v>464</v>
      </c>
      <c r="H135" s="12" t="s">
        <v>78</v>
      </c>
    </row>
    <row r="136" ht="15.75" customHeight="1">
      <c r="A136" s="7">
        <v>180243.0</v>
      </c>
      <c r="B136" s="9">
        <v>45345.0</v>
      </c>
      <c r="C136" s="7">
        <v>1.0</v>
      </c>
      <c r="D136" s="7" t="s">
        <v>82</v>
      </c>
      <c r="E136" s="7" t="s">
        <v>347</v>
      </c>
      <c r="F136" s="7" t="s">
        <v>55</v>
      </c>
      <c r="G136" s="12" t="s">
        <v>465</v>
      </c>
      <c r="H136" s="12" t="s">
        <v>78</v>
      </c>
    </row>
    <row r="137" ht="15.75" customHeight="1">
      <c r="A137" s="7">
        <v>1494894.0</v>
      </c>
      <c r="B137" s="9">
        <v>45335.0</v>
      </c>
      <c r="C137" s="7">
        <v>1.0</v>
      </c>
      <c r="D137" s="7" t="s">
        <v>79</v>
      </c>
      <c r="E137" s="7" t="s">
        <v>80</v>
      </c>
      <c r="F137" s="7" t="s">
        <v>55</v>
      </c>
      <c r="G137" s="12" t="s">
        <v>466</v>
      </c>
      <c r="H137" s="12" t="s">
        <v>78</v>
      </c>
    </row>
    <row r="138" ht="15.75" customHeight="1">
      <c r="A138" s="7">
        <v>3136654.0</v>
      </c>
      <c r="B138" s="9">
        <v>45327.0</v>
      </c>
      <c r="C138" s="7">
        <v>1.0</v>
      </c>
      <c r="D138" s="7" t="s">
        <v>53</v>
      </c>
      <c r="E138" s="7" t="s">
        <v>80</v>
      </c>
      <c r="F138" s="7" t="s">
        <v>55</v>
      </c>
      <c r="G138" s="12" t="s">
        <v>467</v>
      </c>
      <c r="H138" s="12" t="s">
        <v>78</v>
      </c>
    </row>
    <row r="139" ht="15.75" customHeight="1">
      <c r="A139" s="7">
        <v>3098429.0</v>
      </c>
      <c r="B139" s="9">
        <v>45320.0</v>
      </c>
      <c r="C139" s="7">
        <v>5.0</v>
      </c>
      <c r="D139" s="7" t="s">
        <v>53</v>
      </c>
      <c r="E139" s="7" t="s">
        <v>83</v>
      </c>
      <c r="F139" s="7" t="s">
        <v>55</v>
      </c>
      <c r="G139" s="12" t="s">
        <v>468</v>
      </c>
      <c r="H139" s="12" t="s">
        <v>68</v>
      </c>
    </row>
    <row r="140" ht="15.75" customHeight="1">
      <c r="A140" s="7">
        <v>1478973.0</v>
      </c>
      <c r="B140" s="9">
        <v>45297.0</v>
      </c>
      <c r="C140" s="7">
        <v>7.0</v>
      </c>
      <c r="D140" s="7" t="s">
        <v>79</v>
      </c>
      <c r="E140" s="7" t="s">
        <v>80</v>
      </c>
      <c r="F140" s="7" t="s">
        <v>55</v>
      </c>
      <c r="G140" s="12" t="s">
        <v>469</v>
      </c>
      <c r="H140" s="12" t="s">
        <v>78</v>
      </c>
    </row>
    <row r="141" ht="15.75" customHeight="1">
      <c r="A141" s="7">
        <v>1710685.0</v>
      </c>
      <c r="B141" s="9">
        <v>45296.0</v>
      </c>
      <c r="C141" s="7">
        <v>5.0</v>
      </c>
      <c r="D141" s="7" t="s">
        <v>53</v>
      </c>
      <c r="E141" s="7" t="s">
        <v>66</v>
      </c>
      <c r="F141" s="7" t="s">
        <v>55</v>
      </c>
      <c r="G141" s="12" t="s">
        <v>470</v>
      </c>
      <c r="H141" s="12" t="s">
        <v>78</v>
      </c>
    </row>
    <row r="142" ht="15.75" customHeight="1">
      <c r="A142" s="7">
        <v>4204702.0</v>
      </c>
      <c r="B142" s="9">
        <v>45294.0</v>
      </c>
      <c r="C142" s="7">
        <v>1.0</v>
      </c>
      <c r="D142" s="7" t="s">
        <v>53</v>
      </c>
      <c r="E142" s="7" t="s">
        <v>66</v>
      </c>
      <c r="F142" s="7" t="s">
        <v>55</v>
      </c>
      <c r="G142" s="12" t="s">
        <v>471</v>
      </c>
      <c r="H142" s="12" t="s">
        <v>78</v>
      </c>
    </row>
    <row r="143" ht="15.75" customHeight="1">
      <c r="A143" s="7">
        <v>3320063.0</v>
      </c>
      <c r="B143" s="9">
        <v>45294.0</v>
      </c>
      <c r="C143" s="7">
        <v>6.0</v>
      </c>
      <c r="D143" s="7" t="s">
        <v>53</v>
      </c>
      <c r="E143" s="7" t="s">
        <v>66</v>
      </c>
      <c r="F143" s="7" t="s">
        <v>55</v>
      </c>
      <c r="G143" s="12" t="s">
        <v>472</v>
      </c>
      <c r="H143" s="12" t="s">
        <v>78</v>
      </c>
    </row>
    <row r="144" ht="15.75" customHeight="1">
      <c r="A144" s="7">
        <v>761135.0</v>
      </c>
      <c r="B144" s="9">
        <v>45293.0</v>
      </c>
      <c r="C144" s="7">
        <v>4.0</v>
      </c>
      <c r="D144" s="7" t="s">
        <v>82</v>
      </c>
      <c r="E144" s="7" t="s">
        <v>110</v>
      </c>
      <c r="F144" s="7" t="s">
        <v>55</v>
      </c>
      <c r="G144" s="12" t="s">
        <v>473</v>
      </c>
      <c r="H144" s="12" t="s">
        <v>78</v>
      </c>
    </row>
    <row r="145" ht="15.75" customHeight="1">
      <c r="A145" s="7">
        <v>390932.0</v>
      </c>
      <c r="B145" s="9">
        <v>45288.0</v>
      </c>
      <c r="C145" s="7">
        <v>10.0</v>
      </c>
      <c r="D145" s="7" t="s">
        <v>53</v>
      </c>
      <c r="E145" s="7" t="s">
        <v>80</v>
      </c>
      <c r="F145" s="7" t="s">
        <v>55</v>
      </c>
      <c r="G145" s="12" t="s">
        <v>474</v>
      </c>
      <c r="H145" s="12" t="s">
        <v>78</v>
      </c>
    </row>
    <row r="146" ht="15.75" customHeight="1">
      <c r="A146" s="7">
        <v>3114116.0</v>
      </c>
      <c r="B146" s="9">
        <v>45279.0</v>
      </c>
      <c r="C146" s="7">
        <v>4.0</v>
      </c>
      <c r="D146" s="7" t="s">
        <v>82</v>
      </c>
      <c r="E146" s="7" t="s">
        <v>80</v>
      </c>
      <c r="F146" s="7" t="s">
        <v>55</v>
      </c>
      <c r="G146" s="12" t="s">
        <v>475</v>
      </c>
      <c r="H146" s="12" t="s">
        <v>78</v>
      </c>
    </row>
    <row r="147" ht="15.75" customHeight="1">
      <c r="A147" s="7">
        <v>1624970.0</v>
      </c>
      <c r="B147" s="9">
        <v>45279.0</v>
      </c>
      <c r="C147" s="7">
        <v>5.0</v>
      </c>
      <c r="D147" s="7" t="s">
        <v>53</v>
      </c>
      <c r="E147" s="7" t="s">
        <v>110</v>
      </c>
      <c r="F147" s="7" t="s">
        <v>55</v>
      </c>
      <c r="G147" s="12" t="s">
        <v>476</v>
      </c>
      <c r="H147" s="12" t="s">
        <v>78</v>
      </c>
    </row>
    <row r="148" ht="15.75" customHeight="1">
      <c r="A148" s="7">
        <v>2555847.0</v>
      </c>
      <c r="B148" s="9">
        <v>45276.0</v>
      </c>
      <c r="C148" s="7">
        <v>7.0</v>
      </c>
      <c r="D148" s="7" t="s">
        <v>53</v>
      </c>
      <c r="E148" s="7" t="s">
        <v>66</v>
      </c>
      <c r="F148" s="7" t="s">
        <v>55</v>
      </c>
      <c r="G148" s="12" t="s">
        <v>477</v>
      </c>
      <c r="H148" s="12" t="s">
        <v>78</v>
      </c>
    </row>
    <row r="149" ht="15.75" customHeight="1">
      <c r="A149" s="7">
        <v>2766950.0</v>
      </c>
      <c r="B149" s="9">
        <v>45274.0</v>
      </c>
      <c r="C149" s="7">
        <v>6.0</v>
      </c>
      <c r="D149" s="7" t="s">
        <v>79</v>
      </c>
      <c r="E149" s="7" t="s">
        <v>357</v>
      </c>
      <c r="F149" s="7" t="s">
        <v>55</v>
      </c>
      <c r="G149" s="12" t="s">
        <v>478</v>
      </c>
      <c r="H149" s="12" t="s">
        <v>78</v>
      </c>
    </row>
    <row r="150" ht="15.75" customHeight="1">
      <c r="A150" s="7">
        <v>1991301.0</v>
      </c>
      <c r="B150" s="9">
        <v>45265.0</v>
      </c>
      <c r="C150" s="7">
        <v>7.0</v>
      </c>
      <c r="D150" s="7" t="s">
        <v>53</v>
      </c>
      <c r="E150" s="7" t="s">
        <v>66</v>
      </c>
      <c r="F150" s="7" t="s">
        <v>55</v>
      </c>
      <c r="G150" s="12" t="s">
        <v>479</v>
      </c>
      <c r="H150" s="12" t="s">
        <v>78</v>
      </c>
    </row>
    <row r="151" ht="15.75" customHeight="1">
      <c r="A151" s="7">
        <v>3097472.0</v>
      </c>
      <c r="B151" s="9">
        <v>45264.0</v>
      </c>
      <c r="C151" s="7">
        <v>4.0</v>
      </c>
      <c r="D151" s="7" t="s">
        <v>53</v>
      </c>
      <c r="E151" s="7" t="s">
        <v>83</v>
      </c>
      <c r="F151" s="7" t="s">
        <v>55</v>
      </c>
      <c r="G151" s="12" t="s">
        <v>480</v>
      </c>
      <c r="H151" s="12" t="s">
        <v>75</v>
      </c>
    </row>
    <row r="152" ht="15.75" customHeight="1">
      <c r="A152" s="7">
        <v>948282.0</v>
      </c>
      <c r="B152" s="9">
        <v>45260.0</v>
      </c>
      <c r="C152" s="7">
        <v>1.0</v>
      </c>
      <c r="D152" s="7" t="s">
        <v>53</v>
      </c>
      <c r="E152" s="7" t="s">
        <v>66</v>
      </c>
      <c r="F152" s="7" t="s">
        <v>55</v>
      </c>
      <c r="G152" s="12" t="s">
        <v>481</v>
      </c>
      <c r="H152" s="12" t="s">
        <v>78</v>
      </c>
    </row>
    <row r="153" ht="15.75" customHeight="1">
      <c r="A153" s="7">
        <v>1869768.0</v>
      </c>
      <c r="B153" s="9">
        <v>45254.0</v>
      </c>
      <c r="C153" s="7">
        <v>5.0</v>
      </c>
      <c r="D153" s="7" t="s">
        <v>82</v>
      </c>
      <c r="E153" s="7" t="s">
        <v>142</v>
      </c>
      <c r="F153" s="7" t="s">
        <v>55</v>
      </c>
      <c r="G153" s="12" t="s">
        <v>482</v>
      </c>
      <c r="H153" s="12" t="s">
        <v>78</v>
      </c>
    </row>
    <row r="154" ht="15.75" customHeight="1">
      <c r="A154" s="7">
        <v>1454521.0</v>
      </c>
      <c r="B154" s="9">
        <v>45251.0</v>
      </c>
      <c r="C154" s="7">
        <v>10.0</v>
      </c>
      <c r="D154" s="7" t="s">
        <v>79</v>
      </c>
      <c r="E154" s="7" t="s">
        <v>80</v>
      </c>
      <c r="F154" s="7" t="s">
        <v>55</v>
      </c>
      <c r="G154" s="12" t="s">
        <v>483</v>
      </c>
      <c r="H154" s="12" t="s">
        <v>78</v>
      </c>
    </row>
    <row r="155" ht="15.75" customHeight="1">
      <c r="A155" s="7">
        <v>3698200.0</v>
      </c>
      <c r="B155" s="9">
        <v>45236.0</v>
      </c>
      <c r="C155" s="7">
        <v>3.0</v>
      </c>
      <c r="D155" s="7" t="s">
        <v>82</v>
      </c>
      <c r="E155" s="7" t="s">
        <v>142</v>
      </c>
      <c r="F155" s="7" t="s">
        <v>55</v>
      </c>
      <c r="G155" s="12" t="s">
        <v>484</v>
      </c>
      <c r="H155" s="12" t="s">
        <v>78</v>
      </c>
    </row>
    <row r="156" ht="15.75" customHeight="1">
      <c r="A156" s="7">
        <v>2596983.0</v>
      </c>
      <c r="B156" s="9">
        <v>45218.0</v>
      </c>
      <c r="C156" s="7">
        <v>4.0</v>
      </c>
      <c r="D156" s="7" t="s">
        <v>53</v>
      </c>
      <c r="E156" s="7" t="s">
        <v>485</v>
      </c>
      <c r="F156" s="7" t="s">
        <v>55</v>
      </c>
      <c r="G156" s="12" t="s">
        <v>486</v>
      </c>
      <c r="H156" s="12" t="s">
        <v>78</v>
      </c>
    </row>
    <row r="157" ht="15.75" customHeight="1">
      <c r="A157" s="7">
        <v>758833.0</v>
      </c>
      <c r="B157" s="9">
        <v>45218.0</v>
      </c>
      <c r="C157" s="7">
        <v>5.0</v>
      </c>
      <c r="D157" s="7" t="s">
        <v>79</v>
      </c>
      <c r="E157" s="7" t="s">
        <v>110</v>
      </c>
      <c r="F157" s="7" t="s">
        <v>55</v>
      </c>
      <c r="G157" s="12" t="s">
        <v>487</v>
      </c>
      <c r="H157" s="12" t="s">
        <v>78</v>
      </c>
    </row>
    <row r="158" ht="15.75" customHeight="1">
      <c r="A158" s="7">
        <v>211319.0</v>
      </c>
      <c r="B158" s="9">
        <v>45215.0</v>
      </c>
      <c r="C158" s="7">
        <v>3.0</v>
      </c>
      <c r="D158" s="7" t="s">
        <v>53</v>
      </c>
      <c r="E158" s="7" t="s">
        <v>66</v>
      </c>
      <c r="F158" s="7" t="s">
        <v>55</v>
      </c>
      <c r="G158" s="12" t="s">
        <v>488</v>
      </c>
      <c r="H158" s="12" t="s">
        <v>68</v>
      </c>
    </row>
    <row r="159" ht="15.75" customHeight="1">
      <c r="A159" s="7">
        <v>2626933.0</v>
      </c>
      <c r="B159" s="9">
        <v>45211.0</v>
      </c>
      <c r="C159" s="7">
        <v>5.0</v>
      </c>
      <c r="D159" s="7" t="s">
        <v>53</v>
      </c>
      <c r="E159" s="7" t="s">
        <v>66</v>
      </c>
      <c r="F159" s="7" t="s">
        <v>55</v>
      </c>
      <c r="G159" s="12" t="s">
        <v>489</v>
      </c>
      <c r="H159" s="12" t="s">
        <v>78</v>
      </c>
    </row>
    <row r="160" ht="15.75" customHeight="1">
      <c r="A160" s="7">
        <v>3645602.0</v>
      </c>
      <c r="B160" s="9">
        <v>45210.0</v>
      </c>
      <c r="C160" s="7">
        <v>8.0</v>
      </c>
      <c r="D160" s="7" t="s">
        <v>82</v>
      </c>
      <c r="E160" s="7" t="s">
        <v>142</v>
      </c>
      <c r="F160" s="7" t="s">
        <v>55</v>
      </c>
      <c r="G160" s="12" t="s">
        <v>490</v>
      </c>
      <c r="H160" s="12" t="s">
        <v>75</v>
      </c>
    </row>
    <row r="161" ht="15.75" customHeight="1">
      <c r="A161" s="7">
        <v>2379367.0</v>
      </c>
      <c r="B161" s="9">
        <v>45196.0</v>
      </c>
      <c r="C161" s="7">
        <v>1.0</v>
      </c>
      <c r="D161" s="7" t="s">
        <v>53</v>
      </c>
      <c r="E161" s="7" t="s">
        <v>66</v>
      </c>
      <c r="F161" s="7" t="s">
        <v>55</v>
      </c>
      <c r="G161" s="12" t="s">
        <v>491</v>
      </c>
      <c r="H161" s="12" t="s">
        <v>78</v>
      </c>
    </row>
    <row r="162" ht="15.75" customHeight="1">
      <c r="A162" s="7">
        <v>3231218.0</v>
      </c>
      <c r="B162" s="9">
        <v>45191.0</v>
      </c>
      <c r="C162" s="7">
        <v>7.0</v>
      </c>
      <c r="D162" s="7" t="s">
        <v>79</v>
      </c>
      <c r="E162" s="7" t="s">
        <v>80</v>
      </c>
      <c r="F162" s="7" t="s">
        <v>55</v>
      </c>
      <c r="G162" s="12" t="s">
        <v>492</v>
      </c>
      <c r="H162" s="12" t="s">
        <v>78</v>
      </c>
    </row>
    <row r="163" ht="15.75" customHeight="1">
      <c r="A163" s="7">
        <v>648473.0</v>
      </c>
      <c r="B163" s="9">
        <v>45191.0</v>
      </c>
      <c r="C163" s="7">
        <v>6.0</v>
      </c>
      <c r="D163" s="7" t="s">
        <v>53</v>
      </c>
      <c r="E163" s="7" t="s">
        <v>66</v>
      </c>
      <c r="F163" s="7" t="s">
        <v>55</v>
      </c>
      <c r="G163" s="12" t="s">
        <v>493</v>
      </c>
      <c r="H163" s="12" t="s">
        <v>68</v>
      </c>
    </row>
    <row r="164" ht="15.75" customHeight="1">
      <c r="A164" s="7">
        <v>1862747.0</v>
      </c>
      <c r="B164" s="9">
        <v>45182.0</v>
      </c>
      <c r="C164" s="7">
        <v>8.0</v>
      </c>
      <c r="D164" s="7" t="s">
        <v>53</v>
      </c>
      <c r="E164" s="7" t="s">
        <v>66</v>
      </c>
      <c r="F164" s="7" t="s">
        <v>55</v>
      </c>
      <c r="G164" s="12" t="s">
        <v>494</v>
      </c>
      <c r="H164" s="12" t="s">
        <v>78</v>
      </c>
    </row>
    <row r="165" ht="15.75" customHeight="1">
      <c r="A165" s="7">
        <v>109026.0</v>
      </c>
      <c r="B165" s="9">
        <v>45181.0</v>
      </c>
      <c r="C165" s="7">
        <v>1.0</v>
      </c>
      <c r="D165" s="7" t="s">
        <v>82</v>
      </c>
      <c r="E165" s="7" t="s">
        <v>124</v>
      </c>
      <c r="F165" s="7" t="s">
        <v>55</v>
      </c>
      <c r="G165" s="12" t="s">
        <v>495</v>
      </c>
      <c r="H165" s="12" t="s">
        <v>68</v>
      </c>
    </row>
    <row r="166" ht="15.75" customHeight="1">
      <c r="A166" s="7">
        <v>3243792.0</v>
      </c>
      <c r="B166" s="9">
        <v>45176.0</v>
      </c>
      <c r="C166" s="7">
        <v>8.0</v>
      </c>
      <c r="D166" s="7" t="s">
        <v>53</v>
      </c>
      <c r="E166" s="7" t="s">
        <v>66</v>
      </c>
      <c r="F166" s="7" t="s">
        <v>55</v>
      </c>
      <c r="G166" s="12" t="s">
        <v>496</v>
      </c>
      <c r="H166" s="12" t="s">
        <v>71</v>
      </c>
    </row>
    <row r="167" ht="15.75" customHeight="1">
      <c r="A167" s="7">
        <v>3098024.0</v>
      </c>
      <c r="B167" s="9">
        <v>45175.0</v>
      </c>
      <c r="C167" s="7">
        <v>8.0</v>
      </c>
      <c r="D167" s="7" t="s">
        <v>53</v>
      </c>
      <c r="E167" s="7" t="s">
        <v>83</v>
      </c>
      <c r="F167" s="7" t="s">
        <v>55</v>
      </c>
      <c r="G167" s="12" t="s">
        <v>497</v>
      </c>
      <c r="H167" s="12" t="s">
        <v>75</v>
      </c>
    </row>
    <row r="168" ht="15.75" customHeight="1">
      <c r="A168" s="7">
        <v>1622406.0</v>
      </c>
      <c r="B168" s="9">
        <v>45175.0</v>
      </c>
      <c r="C168" s="7">
        <v>3.0</v>
      </c>
      <c r="D168" s="7" t="s">
        <v>53</v>
      </c>
      <c r="E168" s="7" t="s">
        <v>66</v>
      </c>
      <c r="F168" s="7" t="s">
        <v>55</v>
      </c>
      <c r="G168" s="12" t="s">
        <v>498</v>
      </c>
      <c r="H168" s="12" t="s">
        <v>78</v>
      </c>
    </row>
    <row r="169" ht="15.75" customHeight="1">
      <c r="A169" s="7">
        <v>1948538.0</v>
      </c>
      <c r="B169" s="9">
        <v>45175.0</v>
      </c>
      <c r="C169" s="7">
        <v>4.0</v>
      </c>
      <c r="D169" s="7" t="s">
        <v>53</v>
      </c>
      <c r="E169" s="7" t="s">
        <v>110</v>
      </c>
      <c r="F169" s="7" t="s">
        <v>55</v>
      </c>
      <c r="G169" s="12" t="s">
        <v>499</v>
      </c>
      <c r="H169" s="12" t="s">
        <v>78</v>
      </c>
    </row>
    <row r="170" ht="15.75" customHeight="1">
      <c r="A170" s="7">
        <v>3096851.0</v>
      </c>
      <c r="B170" s="9">
        <v>45174.0</v>
      </c>
      <c r="C170" s="7">
        <v>1.0</v>
      </c>
      <c r="D170" s="7" t="s">
        <v>53</v>
      </c>
      <c r="E170" s="7" t="s">
        <v>83</v>
      </c>
      <c r="F170" s="7" t="s">
        <v>55</v>
      </c>
      <c r="G170" s="12" t="s">
        <v>500</v>
      </c>
      <c r="H170" s="12" t="s">
        <v>78</v>
      </c>
    </row>
    <row r="171" ht="15.75" customHeight="1">
      <c r="A171" s="7">
        <v>228550.0</v>
      </c>
      <c r="B171" s="9">
        <v>45159.0</v>
      </c>
      <c r="C171" s="7">
        <v>1.0</v>
      </c>
      <c r="D171" s="7" t="s">
        <v>53</v>
      </c>
      <c r="E171" s="7" t="s">
        <v>80</v>
      </c>
      <c r="F171" s="7" t="s">
        <v>55</v>
      </c>
      <c r="G171" s="12" t="s">
        <v>501</v>
      </c>
      <c r="H171" s="12" t="s">
        <v>71</v>
      </c>
    </row>
    <row r="172" ht="15.75" customHeight="1">
      <c r="A172" s="7">
        <v>1995336.0</v>
      </c>
      <c r="B172" s="9">
        <v>45155.0</v>
      </c>
      <c r="C172" s="7">
        <v>1.0</v>
      </c>
      <c r="D172" s="7" t="s">
        <v>79</v>
      </c>
      <c r="E172" s="7" t="s">
        <v>80</v>
      </c>
      <c r="F172" s="7" t="s">
        <v>55</v>
      </c>
      <c r="G172" s="12" t="s">
        <v>502</v>
      </c>
      <c r="H172" s="12" t="s">
        <v>75</v>
      </c>
    </row>
    <row r="173" ht="15.75" customHeight="1">
      <c r="A173" s="7">
        <v>2669679.0</v>
      </c>
      <c r="B173" s="9">
        <v>45152.0</v>
      </c>
      <c r="C173" s="7">
        <v>10.0</v>
      </c>
      <c r="D173" s="7" t="s">
        <v>53</v>
      </c>
      <c r="E173" s="7" t="s">
        <v>66</v>
      </c>
      <c r="F173" s="7" t="s">
        <v>55</v>
      </c>
      <c r="G173" s="12" t="s">
        <v>503</v>
      </c>
      <c r="H173" s="12" t="s">
        <v>78</v>
      </c>
    </row>
    <row r="174" ht="15.75" customHeight="1">
      <c r="A174" s="7">
        <v>2726793.0</v>
      </c>
      <c r="B174" s="9">
        <v>45147.0</v>
      </c>
      <c r="C174" s="7">
        <v>10.0</v>
      </c>
      <c r="D174" s="7" t="s">
        <v>53</v>
      </c>
      <c r="E174" s="7" t="s">
        <v>119</v>
      </c>
      <c r="F174" s="7" t="s">
        <v>55</v>
      </c>
      <c r="G174" s="12" t="s">
        <v>504</v>
      </c>
      <c r="H174" s="12" t="s">
        <v>78</v>
      </c>
    </row>
    <row r="175" ht="15.75" customHeight="1">
      <c r="A175" s="7">
        <v>2800641.0</v>
      </c>
      <c r="B175" s="9">
        <v>45146.0</v>
      </c>
      <c r="C175" s="7">
        <v>9.0</v>
      </c>
      <c r="D175" s="7" t="s">
        <v>82</v>
      </c>
      <c r="E175" s="7" t="s">
        <v>142</v>
      </c>
      <c r="F175" s="7" t="s">
        <v>55</v>
      </c>
      <c r="G175" s="12" t="s">
        <v>505</v>
      </c>
      <c r="H175" s="12" t="s">
        <v>78</v>
      </c>
    </row>
    <row r="176" ht="15.75" customHeight="1">
      <c r="A176" s="7">
        <v>1617536.0</v>
      </c>
      <c r="B176" s="9">
        <v>45134.0</v>
      </c>
      <c r="C176" s="7">
        <v>7.0</v>
      </c>
      <c r="D176" s="7" t="s">
        <v>82</v>
      </c>
      <c r="E176" s="7" t="s">
        <v>142</v>
      </c>
      <c r="F176" s="7" t="s">
        <v>55</v>
      </c>
      <c r="G176" s="12" t="s">
        <v>506</v>
      </c>
      <c r="H176" s="12" t="s">
        <v>78</v>
      </c>
    </row>
    <row r="177" ht="15.75" customHeight="1">
      <c r="A177" s="7">
        <v>2356332.0</v>
      </c>
      <c r="B177" s="9">
        <v>45127.0</v>
      </c>
      <c r="C177" s="7">
        <v>5.0</v>
      </c>
      <c r="D177" s="7" t="s">
        <v>53</v>
      </c>
      <c r="E177" s="7" t="s">
        <v>66</v>
      </c>
      <c r="F177" s="7" t="s">
        <v>55</v>
      </c>
      <c r="G177" s="12" t="s">
        <v>507</v>
      </c>
      <c r="H177" s="12" t="s">
        <v>71</v>
      </c>
    </row>
    <row r="178" ht="15.75" customHeight="1">
      <c r="A178" s="7">
        <v>1336623.0</v>
      </c>
      <c r="B178" s="9">
        <v>45125.0</v>
      </c>
      <c r="C178" s="7">
        <v>5.0</v>
      </c>
      <c r="D178" s="7" t="s">
        <v>53</v>
      </c>
      <c r="E178" s="7" t="s">
        <v>80</v>
      </c>
      <c r="F178" s="7" t="s">
        <v>55</v>
      </c>
      <c r="G178" s="12" t="s">
        <v>508</v>
      </c>
      <c r="H178" s="12" t="s">
        <v>78</v>
      </c>
    </row>
    <row r="179" ht="15.75" customHeight="1">
      <c r="A179" s="7">
        <v>552609.0</v>
      </c>
      <c r="B179" s="9">
        <v>45105.0</v>
      </c>
      <c r="C179" s="7">
        <v>10.0</v>
      </c>
      <c r="D179" s="7" t="s">
        <v>53</v>
      </c>
      <c r="E179" s="7" t="s">
        <v>66</v>
      </c>
      <c r="F179" s="7" t="s">
        <v>55</v>
      </c>
      <c r="G179" s="12" t="s">
        <v>509</v>
      </c>
      <c r="H179" s="12" t="s">
        <v>90</v>
      </c>
    </row>
    <row r="180" ht="15.75" customHeight="1">
      <c r="A180" s="7">
        <v>2516034.0</v>
      </c>
      <c r="B180" s="9">
        <v>45104.0</v>
      </c>
      <c r="C180" s="7">
        <v>8.0</v>
      </c>
      <c r="D180" s="7" t="s">
        <v>53</v>
      </c>
      <c r="E180" s="7" t="s">
        <v>66</v>
      </c>
      <c r="F180" s="7" t="s">
        <v>55</v>
      </c>
      <c r="G180" s="12" t="s">
        <v>510</v>
      </c>
      <c r="H180" s="12" t="s">
        <v>78</v>
      </c>
    </row>
    <row r="181" ht="15.75" customHeight="1">
      <c r="A181" s="7">
        <v>2317899.0</v>
      </c>
      <c r="B181" s="9">
        <v>45091.0</v>
      </c>
      <c r="C181" s="7">
        <v>5.0</v>
      </c>
      <c r="D181" s="7" t="s">
        <v>79</v>
      </c>
      <c r="E181" s="7" t="s">
        <v>110</v>
      </c>
      <c r="F181" s="7" t="s">
        <v>55</v>
      </c>
      <c r="G181" s="12" t="s">
        <v>511</v>
      </c>
      <c r="H181" s="12" t="s">
        <v>78</v>
      </c>
    </row>
    <row r="182" ht="15.75" customHeight="1">
      <c r="A182" s="7">
        <v>2208476.0</v>
      </c>
      <c r="B182" s="9">
        <v>45088.0</v>
      </c>
      <c r="C182" s="7">
        <v>4.0</v>
      </c>
      <c r="D182" s="7" t="s">
        <v>79</v>
      </c>
      <c r="E182" s="7" t="s">
        <v>80</v>
      </c>
      <c r="F182" s="7" t="s">
        <v>55</v>
      </c>
      <c r="G182" s="12" t="s">
        <v>512</v>
      </c>
      <c r="H182" s="12" t="s">
        <v>75</v>
      </c>
    </row>
    <row r="183" ht="15.75" customHeight="1">
      <c r="A183" s="7">
        <v>233641.0</v>
      </c>
      <c r="B183" s="9">
        <v>45086.0</v>
      </c>
      <c r="C183" s="7">
        <v>7.0</v>
      </c>
      <c r="D183" s="7" t="s">
        <v>82</v>
      </c>
      <c r="E183" s="7" t="s">
        <v>192</v>
      </c>
      <c r="F183" s="7" t="s">
        <v>55</v>
      </c>
      <c r="G183" s="12" t="s">
        <v>513</v>
      </c>
      <c r="H183" s="12" t="s">
        <v>78</v>
      </c>
    </row>
    <row r="184" ht="15.75" customHeight="1">
      <c r="A184" s="7">
        <v>1873675.0</v>
      </c>
      <c r="B184" s="9">
        <v>45075.0</v>
      </c>
      <c r="C184" s="7">
        <v>2.0</v>
      </c>
      <c r="D184" s="7" t="s">
        <v>79</v>
      </c>
      <c r="E184" s="7" t="s">
        <v>357</v>
      </c>
      <c r="F184" s="7" t="s">
        <v>55</v>
      </c>
      <c r="G184" s="12" t="s">
        <v>514</v>
      </c>
      <c r="H184" s="12" t="s">
        <v>78</v>
      </c>
    </row>
    <row r="185" ht="15.75" customHeight="1">
      <c r="A185" s="7">
        <v>2851420.0</v>
      </c>
      <c r="B185" s="9">
        <v>45073.0</v>
      </c>
      <c r="C185" s="7">
        <v>3.0</v>
      </c>
      <c r="D185" s="7" t="s">
        <v>79</v>
      </c>
      <c r="E185" s="7" t="s">
        <v>80</v>
      </c>
      <c r="F185" s="7" t="s">
        <v>55</v>
      </c>
      <c r="G185" s="12" t="s">
        <v>515</v>
      </c>
      <c r="H185" s="12" t="s">
        <v>78</v>
      </c>
    </row>
    <row r="186" ht="15.75" customHeight="1">
      <c r="A186" s="7">
        <v>767062.0</v>
      </c>
      <c r="B186" s="9">
        <v>45069.0</v>
      </c>
      <c r="C186" s="7">
        <v>4.0</v>
      </c>
      <c r="D186" s="7" t="s">
        <v>79</v>
      </c>
      <c r="E186" s="7" t="s">
        <v>80</v>
      </c>
      <c r="F186" s="7" t="s">
        <v>55</v>
      </c>
      <c r="G186" s="12" t="s">
        <v>516</v>
      </c>
      <c r="H186" s="12" t="s">
        <v>78</v>
      </c>
    </row>
    <row r="187" ht="15.75" customHeight="1">
      <c r="A187" s="7">
        <v>663781.0</v>
      </c>
      <c r="B187" s="9">
        <v>45061.0</v>
      </c>
      <c r="C187" s="7">
        <v>7.0</v>
      </c>
      <c r="D187" s="7" t="s">
        <v>82</v>
      </c>
      <c r="E187" s="7" t="s">
        <v>110</v>
      </c>
      <c r="F187" s="7" t="s">
        <v>55</v>
      </c>
      <c r="G187" s="12" t="s">
        <v>517</v>
      </c>
      <c r="H187" s="12" t="s">
        <v>75</v>
      </c>
    </row>
    <row r="188" ht="15.75" customHeight="1">
      <c r="A188" s="7">
        <v>2787444.0</v>
      </c>
      <c r="B188" s="9">
        <v>45059.0</v>
      </c>
      <c r="C188" s="7">
        <v>2.0</v>
      </c>
      <c r="D188" s="7" t="s">
        <v>53</v>
      </c>
      <c r="E188" s="7" t="s">
        <v>66</v>
      </c>
      <c r="F188" s="7" t="s">
        <v>55</v>
      </c>
      <c r="G188" s="12" t="s">
        <v>518</v>
      </c>
      <c r="H188" s="12" t="s">
        <v>71</v>
      </c>
    </row>
    <row r="189" ht="15.75" customHeight="1">
      <c r="A189" s="7">
        <v>2566424.0</v>
      </c>
      <c r="B189" s="9">
        <v>45056.0</v>
      </c>
      <c r="C189" s="7">
        <v>1.0</v>
      </c>
      <c r="D189" s="7" t="s">
        <v>82</v>
      </c>
      <c r="E189" s="7" t="s">
        <v>80</v>
      </c>
      <c r="F189" s="7" t="s">
        <v>55</v>
      </c>
      <c r="G189" s="12" t="s">
        <v>519</v>
      </c>
      <c r="H189" s="12" t="s">
        <v>78</v>
      </c>
    </row>
    <row r="190" ht="15.75" customHeight="1">
      <c r="A190" s="7">
        <v>1196715.0</v>
      </c>
      <c r="B190" s="9">
        <v>45048.0</v>
      </c>
      <c r="C190" s="7">
        <v>2.0</v>
      </c>
      <c r="D190" s="7" t="s">
        <v>53</v>
      </c>
      <c r="E190" s="7" t="s">
        <v>66</v>
      </c>
      <c r="F190" s="7" t="s">
        <v>55</v>
      </c>
      <c r="G190" s="12" t="s">
        <v>520</v>
      </c>
      <c r="H190" s="12" t="s">
        <v>78</v>
      </c>
    </row>
    <row r="191" ht="15.75" customHeight="1">
      <c r="A191" s="7">
        <v>1000124.0</v>
      </c>
      <c r="B191" s="9">
        <v>45044.0</v>
      </c>
      <c r="C191" s="7">
        <v>3.0</v>
      </c>
      <c r="D191" s="7" t="s">
        <v>79</v>
      </c>
      <c r="E191" s="7" t="s">
        <v>80</v>
      </c>
      <c r="F191" s="7" t="s">
        <v>55</v>
      </c>
      <c r="G191" s="12" t="s">
        <v>521</v>
      </c>
      <c r="H191" s="12" t="s">
        <v>68</v>
      </c>
    </row>
    <row r="192" ht="15.75" customHeight="1">
      <c r="A192" s="7">
        <v>432312.0</v>
      </c>
      <c r="B192" s="9">
        <v>45040.0</v>
      </c>
      <c r="C192" s="7">
        <v>3.0</v>
      </c>
      <c r="D192" s="7" t="s">
        <v>79</v>
      </c>
      <c r="E192" s="7" t="s">
        <v>110</v>
      </c>
      <c r="F192" s="7" t="s">
        <v>55</v>
      </c>
      <c r="G192" s="12" t="s">
        <v>522</v>
      </c>
      <c r="H192" s="12" t="s">
        <v>78</v>
      </c>
    </row>
    <row r="193" ht="15.75" customHeight="1">
      <c r="A193" s="7">
        <v>1758467.0</v>
      </c>
      <c r="B193" s="9">
        <v>45034.0</v>
      </c>
      <c r="C193" s="7">
        <v>2.0</v>
      </c>
      <c r="D193" s="7" t="s">
        <v>79</v>
      </c>
      <c r="E193" s="7" t="s">
        <v>80</v>
      </c>
      <c r="F193" s="7" t="s">
        <v>55</v>
      </c>
      <c r="G193" s="12" t="s">
        <v>523</v>
      </c>
      <c r="H193" s="12" t="s">
        <v>78</v>
      </c>
    </row>
    <row r="194" ht="15.75" customHeight="1">
      <c r="A194" s="7">
        <v>204733.0</v>
      </c>
      <c r="B194" s="9">
        <v>45026.0</v>
      </c>
      <c r="C194" s="7">
        <v>6.0</v>
      </c>
      <c r="D194" s="7" t="s">
        <v>53</v>
      </c>
      <c r="E194" s="7" t="s">
        <v>66</v>
      </c>
      <c r="F194" s="7" t="s">
        <v>55</v>
      </c>
      <c r="G194" s="12" t="s">
        <v>524</v>
      </c>
      <c r="H194" s="12" t="s">
        <v>78</v>
      </c>
    </row>
    <row r="195" ht="15.75" customHeight="1">
      <c r="A195" s="7">
        <v>2071821.0</v>
      </c>
      <c r="B195" s="9">
        <v>45023.0</v>
      </c>
      <c r="C195" s="7">
        <v>4.0</v>
      </c>
      <c r="D195" s="7" t="s">
        <v>53</v>
      </c>
      <c r="E195" s="7" t="s">
        <v>525</v>
      </c>
      <c r="F195" s="7" t="s">
        <v>55</v>
      </c>
      <c r="G195" s="12" t="s">
        <v>526</v>
      </c>
      <c r="H195" s="12" t="s">
        <v>78</v>
      </c>
    </row>
    <row r="196" ht="15.75" customHeight="1">
      <c r="A196" s="7">
        <v>1767280.0</v>
      </c>
      <c r="B196" s="9">
        <v>45022.0</v>
      </c>
      <c r="C196" s="7">
        <v>3.0</v>
      </c>
      <c r="D196" s="7" t="s">
        <v>53</v>
      </c>
      <c r="E196" s="7" t="s">
        <v>110</v>
      </c>
      <c r="F196" s="7" t="s">
        <v>55</v>
      </c>
      <c r="G196" s="12" t="s">
        <v>527</v>
      </c>
      <c r="H196" s="12" t="s">
        <v>78</v>
      </c>
    </row>
    <row r="197" ht="15.75" customHeight="1">
      <c r="A197" s="7">
        <v>1744035.0</v>
      </c>
      <c r="B197" s="9">
        <v>45007.0</v>
      </c>
      <c r="C197" s="7">
        <v>7.0</v>
      </c>
      <c r="D197" s="7" t="s">
        <v>53</v>
      </c>
      <c r="E197" s="7" t="s">
        <v>66</v>
      </c>
      <c r="F197" s="7" t="s">
        <v>55</v>
      </c>
      <c r="G197" s="12" t="s">
        <v>528</v>
      </c>
      <c r="H197" s="12" t="s">
        <v>68</v>
      </c>
    </row>
    <row r="198" ht="15.75" customHeight="1">
      <c r="A198" s="7">
        <v>1439115.0</v>
      </c>
      <c r="B198" s="9">
        <v>44985.0</v>
      </c>
      <c r="C198" s="7">
        <v>1.0</v>
      </c>
      <c r="D198" s="7" t="s">
        <v>79</v>
      </c>
      <c r="E198" s="7" t="s">
        <v>80</v>
      </c>
      <c r="F198" s="7" t="s">
        <v>55</v>
      </c>
      <c r="G198" s="12" t="s">
        <v>529</v>
      </c>
      <c r="H198" s="12" t="s">
        <v>78</v>
      </c>
    </row>
    <row r="199" ht="15.75" customHeight="1">
      <c r="A199" s="7">
        <v>1454521.0</v>
      </c>
      <c r="B199" s="9">
        <v>44985.0</v>
      </c>
      <c r="C199" s="7">
        <v>1.0</v>
      </c>
      <c r="D199" s="7" t="s">
        <v>79</v>
      </c>
      <c r="E199" s="7" t="s">
        <v>80</v>
      </c>
      <c r="F199" s="7" t="s">
        <v>55</v>
      </c>
      <c r="G199" s="12" t="s">
        <v>530</v>
      </c>
      <c r="H199" s="12" t="s">
        <v>78</v>
      </c>
    </row>
    <row r="200" ht="15.75" customHeight="1">
      <c r="A200" s="7">
        <v>180243.0</v>
      </c>
      <c r="B200" s="9">
        <v>44985.0</v>
      </c>
      <c r="C200" s="7">
        <v>2.0</v>
      </c>
      <c r="D200" s="7" t="s">
        <v>82</v>
      </c>
      <c r="E200" s="7" t="s">
        <v>347</v>
      </c>
      <c r="F200" s="7" t="s">
        <v>55</v>
      </c>
      <c r="G200" s="12" t="s">
        <v>531</v>
      </c>
      <c r="H200" s="12" t="s">
        <v>78</v>
      </c>
    </row>
    <row r="201" ht="15.75" customHeight="1">
      <c r="A201" s="7">
        <v>2032582.0</v>
      </c>
      <c r="B201" s="9">
        <v>44978.0</v>
      </c>
      <c r="C201" s="7">
        <v>4.0</v>
      </c>
      <c r="D201" s="7" t="s">
        <v>53</v>
      </c>
      <c r="E201" s="7" t="s">
        <v>66</v>
      </c>
      <c r="F201" s="7" t="s">
        <v>55</v>
      </c>
      <c r="G201" s="12" t="s">
        <v>532</v>
      </c>
      <c r="H201" s="12" t="s">
        <v>78</v>
      </c>
    </row>
    <row r="202" ht="15.75" customHeight="1">
      <c r="A202" s="7">
        <v>311983.0</v>
      </c>
      <c r="B202" s="9">
        <v>44964.0</v>
      </c>
      <c r="C202" s="7">
        <v>7.0</v>
      </c>
      <c r="D202" s="7" t="s">
        <v>82</v>
      </c>
      <c r="E202" s="7" t="s">
        <v>80</v>
      </c>
      <c r="F202" s="7" t="s">
        <v>55</v>
      </c>
      <c r="G202" s="12" t="s">
        <v>533</v>
      </c>
      <c r="H202" s="12" t="s">
        <v>78</v>
      </c>
    </row>
    <row r="203" ht="15.75" customHeight="1">
      <c r="A203" s="7">
        <v>964669.0</v>
      </c>
      <c r="B203" s="9">
        <v>44954.0</v>
      </c>
      <c r="C203" s="7">
        <v>5.0</v>
      </c>
      <c r="D203" s="7" t="s">
        <v>53</v>
      </c>
      <c r="E203" s="7" t="s">
        <v>80</v>
      </c>
      <c r="F203" s="7" t="s">
        <v>55</v>
      </c>
      <c r="G203" s="12" t="s">
        <v>534</v>
      </c>
      <c r="H203" s="12" t="s">
        <v>71</v>
      </c>
    </row>
    <row r="204" ht="15.75" customHeight="1">
      <c r="A204" s="7">
        <v>2035089.0</v>
      </c>
      <c r="B204" s="9">
        <v>44951.0</v>
      </c>
      <c r="C204" s="7">
        <v>4.0</v>
      </c>
      <c r="D204" s="7" t="s">
        <v>53</v>
      </c>
      <c r="E204" s="7" t="s">
        <v>110</v>
      </c>
      <c r="F204" s="7" t="s">
        <v>55</v>
      </c>
      <c r="G204" s="12" t="s">
        <v>536</v>
      </c>
      <c r="H204" s="12" t="s">
        <v>75</v>
      </c>
    </row>
    <row r="205" ht="15.75" customHeight="1">
      <c r="A205" s="7">
        <v>1520870.0</v>
      </c>
      <c r="B205" s="9">
        <v>44945.0</v>
      </c>
      <c r="C205" s="7">
        <v>7.0</v>
      </c>
      <c r="D205" s="7" t="s">
        <v>53</v>
      </c>
      <c r="E205" s="7" t="s">
        <v>142</v>
      </c>
      <c r="F205" s="7" t="s">
        <v>55</v>
      </c>
      <c r="G205" s="12" t="s">
        <v>539</v>
      </c>
      <c r="H205" s="12" t="s">
        <v>71</v>
      </c>
    </row>
    <row r="206" ht="15.75" customHeight="1">
      <c r="A206" s="7">
        <v>664786.0</v>
      </c>
      <c r="B206" s="9">
        <v>44944.0</v>
      </c>
      <c r="C206" s="7">
        <v>8.0</v>
      </c>
      <c r="D206" s="7" t="s">
        <v>53</v>
      </c>
      <c r="E206" s="7" t="s">
        <v>110</v>
      </c>
      <c r="F206" s="7" t="s">
        <v>55</v>
      </c>
      <c r="G206" s="12" t="s">
        <v>542</v>
      </c>
      <c r="H206" s="12" t="s">
        <v>75</v>
      </c>
    </row>
    <row r="207" ht="15.75" customHeight="1">
      <c r="A207" s="7">
        <v>917360.0</v>
      </c>
      <c r="B207" s="9">
        <v>44923.0</v>
      </c>
      <c r="C207" s="7">
        <v>2.0</v>
      </c>
      <c r="D207" s="7" t="s">
        <v>53</v>
      </c>
      <c r="E207" s="7" t="s">
        <v>66</v>
      </c>
      <c r="F207" s="7" t="s">
        <v>55</v>
      </c>
      <c r="G207" s="12" t="s">
        <v>545</v>
      </c>
      <c r="H207" s="12" t="s">
        <v>75</v>
      </c>
    </row>
    <row r="208" ht="15.75" customHeight="1">
      <c r="A208" s="7">
        <v>1370172.0</v>
      </c>
      <c r="B208" s="9">
        <v>44910.0</v>
      </c>
      <c r="C208" s="7">
        <v>10.0</v>
      </c>
      <c r="D208" s="7" t="s">
        <v>53</v>
      </c>
      <c r="E208" s="7" t="s">
        <v>110</v>
      </c>
      <c r="F208" s="7" t="s">
        <v>55</v>
      </c>
      <c r="G208" s="12" t="s">
        <v>547</v>
      </c>
      <c r="H208" s="12" t="s">
        <v>90</v>
      </c>
    </row>
    <row r="209" ht="15.75" customHeight="1">
      <c r="A209" s="7">
        <v>1730176.0</v>
      </c>
      <c r="B209" s="9">
        <v>44907.0</v>
      </c>
      <c r="C209" s="7">
        <v>9.0</v>
      </c>
      <c r="D209" s="7" t="s">
        <v>82</v>
      </c>
      <c r="E209" s="7" t="s">
        <v>110</v>
      </c>
      <c r="F209" s="7" t="s">
        <v>55</v>
      </c>
      <c r="G209" s="12" t="s">
        <v>550</v>
      </c>
      <c r="H209" s="12" t="s">
        <v>71</v>
      </c>
    </row>
    <row r="210" ht="15.75" customHeight="1">
      <c r="A210" s="7">
        <v>540031.0</v>
      </c>
      <c r="B210" s="9">
        <v>44897.0</v>
      </c>
      <c r="C210" s="7">
        <v>9.0</v>
      </c>
      <c r="D210" s="7" t="s">
        <v>79</v>
      </c>
      <c r="E210" s="7" t="s">
        <v>80</v>
      </c>
      <c r="F210" s="7" t="s">
        <v>55</v>
      </c>
      <c r="G210" s="12" t="s">
        <v>552</v>
      </c>
      <c r="H210" s="12" t="s">
        <v>78</v>
      </c>
    </row>
    <row r="211" ht="15.75" customHeight="1">
      <c r="A211" s="7">
        <v>1865930.0</v>
      </c>
      <c r="B211" s="9">
        <v>44895.0</v>
      </c>
      <c r="C211" s="7">
        <v>4.0</v>
      </c>
      <c r="D211" s="7" t="s">
        <v>53</v>
      </c>
      <c r="E211" s="7" t="s">
        <v>66</v>
      </c>
      <c r="F211" s="7" t="s">
        <v>55</v>
      </c>
      <c r="G211" s="12" t="s">
        <v>553</v>
      </c>
      <c r="H211" s="12" t="s">
        <v>78</v>
      </c>
    </row>
    <row r="212" ht="15.75" customHeight="1">
      <c r="A212" s="7">
        <v>709831.0</v>
      </c>
      <c r="B212" s="9">
        <v>44895.0</v>
      </c>
      <c r="C212" s="7">
        <v>9.0</v>
      </c>
      <c r="D212" s="7" t="s">
        <v>79</v>
      </c>
      <c r="E212" s="7" t="s">
        <v>80</v>
      </c>
      <c r="F212" s="7" t="s">
        <v>55</v>
      </c>
      <c r="G212" s="12" t="s">
        <v>556</v>
      </c>
      <c r="H212" s="12" t="s">
        <v>78</v>
      </c>
    </row>
    <row r="213" ht="15.75" customHeight="1">
      <c r="A213" s="7">
        <v>1217459.0</v>
      </c>
      <c r="B213" s="9">
        <v>44894.0</v>
      </c>
      <c r="C213" s="7">
        <v>2.0</v>
      </c>
      <c r="D213" s="7" t="s">
        <v>79</v>
      </c>
      <c r="E213" s="7" t="s">
        <v>80</v>
      </c>
      <c r="F213" s="7" t="s">
        <v>55</v>
      </c>
      <c r="G213" s="12" t="s">
        <v>559</v>
      </c>
      <c r="H213" s="12" t="s">
        <v>78</v>
      </c>
    </row>
    <row r="214" ht="15.75" customHeight="1">
      <c r="A214" s="7">
        <v>655110.0</v>
      </c>
      <c r="B214" s="9">
        <v>44890.0</v>
      </c>
      <c r="C214" s="7">
        <v>8.0</v>
      </c>
      <c r="D214" s="7" t="s">
        <v>53</v>
      </c>
      <c r="E214" s="7" t="s">
        <v>66</v>
      </c>
      <c r="F214" s="7" t="s">
        <v>55</v>
      </c>
      <c r="G214" s="12" t="s">
        <v>563</v>
      </c>
      <c r="H214" s="12" t="s">
        <v>75</v>
      </c>
    </row>
    <row r="215" ht="15.75" customHeight="1">
      <c r="A215" s="7">
        <v>302517.0</v>
      </c>
      <c r="B215" s="9">
        <v>44889.0</v>
      </c>
      <c r="C215" s="7">
        <v>2.0</v>
      </c>
      <c r="D215" s="7" t="s">
        <v>53</v>
      </c>
      <c r="E215" s="7" t="s">
        <v>66</v>
      </c>
      <c r="F215" s="7" t="s">
        <v>55</v>
      </c>
      <c r="G215" s="12" t="s">
        <v>568</v>
      </c>
      <c r="H215" s="12" t="s">
        <v>78</v>
      </c>
    </row>
    <row r="216" ht="15.75" customHeight="1">
      <c r="A216" s="7">
        <v>1184878.0</v>
      </c>
      <c r="B216" s="9">
        <v>44886.0</v>
      </c>
      <c r="C216" s="7">
        <v>4.0</v>
      </c>
      <c r="D216" s="7" t="s">
        <v>79</v>
      </c>
      <c r="E216" s="7" t="s">
        <v>110</v>
      </c>
      <c r="F216" s="7" t="s">
        <v>55</v>
      </c>
      <c r="G216" s="12" t="s">
        <v>569</v>
      </c>
      <c r="H216" s="12" t="s">
        <v>78</v>
      </c>
    </row>
    <row r="217" ht="15.75" customHeight="1">
      <c r="A217" s="7">
        <v>589613.0</v>
      </c>
      <c r="B217" s="9">
        <v>44885.0</v>
      </c>
      <c r="C217" s="7">
        <v>5.0</v>
      </c>
      <c r="D217" s="7" t="s">
        <v>82</v>
      </c>
      <c r="E217" s="7" t="s">
        <v>80</v>
      </c>
      <c r="F217" s="7" t="s">
        <v>55</v>
      </c>
      <c r="G217" s="12" t="s">
        <v>574</v>
      </c>
      <c r="H217" s="12" t="s">
        <v>78</v>
      </c>
    </row>
    <row r="218" ht="15.75" customHeight="1">
      <c r="A218" s="7">
        <v>638428.0</v>
      </c>
      <c r="B218" s="9">
        <v>44881.0</v>
      </c>
      <c r="C218" s="7">
        <v>7.0</v>
      </c>
      <c r="D218" s="7" t="s">
        <v>53</v>
      </c>
      <c r="E218" s="7" t="s">
        <v>66</v>
      </c>
      <c r="F218" s="7" t="s">
        <v>55</v>
      </c>
      <c r="G218" s="12" t="s">
        <v>575</v>
      </c>
      <c r="H218" s="12" t="s">
        <v>75</v>
      </c>
    </row>
    <row r="219" ht="15.75" customHeight="1">
      <c r="A219" s="7">
        <v>503127.0</v>
      </c>
      <c r="B219" s="9">
        <v>44880.0</v>
      </c>
      <c r="C219" s="7">
        <v>3.0</v>
      </c>
      <c r="D219" s="7" t="s">
        <v>53</v>
      </c>
      <c r="E219" s="7" t="s">
        <v>66</v>
      </c>
      <c r="F219" s="7" t="s">
        <v>55</v>
      </c>
      <c r="G219" s="12" t="s">
        <v>579</v>
      </c>
      <c r="H219" s="12" t="s">
        <v>78</v>
      </c>
    </row>
    <row r="220" ht="15.75" customHeight="1">
      <c r="A220" s="7">
        <v>167265.0</v>
      </c>
      <c r="B220" s="9">
        <v>44876.0</v>
      </c>
      <c r="C220" s="7">
        <v>8.0</v>
      </c>
      <c r="D220" s="7" t="s">
        <v>82</v>
      </c>
      <c r="E220" s="7" t="s">
        <v>580</v>
      </c>
      <c r="F220" s="7" t="s">
        <v>55</v>
      </c>
      <c r="G220" s="12" t="s">
        <v>582</v>
      </c>
      <c r="H220" s="12" t="s">
        <v>75</v>
      </c>
    </row>
    <row r="221" ht="15.75" customHeight="1">
      <c r="A221" s="7">
        <v>545028.0</v>
      </c>
      <c r="B221" s="9">
        <v>44874.0</v>
      </c>
      <c r="C221" s="7">
        <v>8.0</v>
      </c>
      <c r="D221" s="7" t="s">
        <v>53</v>
      </c>
      <c r="E221" s="7" t="s">
        <v>66</v>
      </c>
      <c r="F221" s="7" t="s">
        <v>55</v>
      </c>
      <c r="G221" s="12" t="s">
        <v>586</v>
      </c>
      <c r="H221" s="12" t="s">
        <v>78</v>
      </c>
    </row>
    <row r="222" ht="15.75" customHeight="1">
      <c r="A222" s="7">
        <v>1196715.0</v>
      </c>
      <c r="B222" s="9">
        <v>44864.0</v>
      </c>
      <c r="C222" s="7">
        <v>5.0</v>
      </c>
      <c r="D222" s="7" t="s">
        <v>53</v>
      </c>
      <c r="E222" s="7" t="s">
        <v>66</v>
      </c>
      <c r="F222" s="7" t="s">
        <v>55</v>
      </c>
      <c r="G222" s="12" t="s">
        <v>589</v>
      </c>
      <c r="H222" s="12" t="s">
        <v>78</v>
      </c>
    </row>
    <row r="223" ht="15.75" customHeight="1">
      <c r="A223" s="7">
        <v>650121.0</v>
      </c>
      <c r="B223" s="9">
        <v>44832.0</v>
      </c>
      <c r="C223" s="7">
        <v>5.0</v>
      </c>
      <c r="D223" s="7" t="s">
        <v>53</v>
      </c>
      <c r="E223" s="7" t="s">
        <v>80</v>
      </c>
      <c r="F223" s="7" t="s">
        <v>55</v>
      </c>
      <c r="G223" s="12" t="s">
        <v>594</v>
      </c>
      <c r="H223" s="12" t="s">
        <v>78</v>
      </c>
    </row>
    <row r="224" ht="15.75" customHeight="1">
      <c r="A224" s="7">
        <v>1110604.0</v>
      </c>
      <c r="B224" s="9">
        <v>44821.0</v>
      </c>
      <c r="C224" s="7">
        <v>2.0</v>
      </c>
      <c r="D224" s="7" t="s">
        <v>53</v>
      </c>
      <c r="E224" s="7" t="s">
        <v>66</v>
      </c>
      <c r="F224" s="7" t="s">
        <v>55</v>
      </c>
      <c r="G224" s="12" t="s">
        <v>600</v>
      </c>
      <c r="H224" s="12" t="s">
        <v>78</v>
      </c>
    </row>
    <row r="225" ht="15.75" customHeight="1">
      <c r="A225" s="7">
        <v>1184878.0</v>
      </c>
      <c r="B225" s="9">
        <v>44817.0</v>
      </c>
      <c r="C225" s="7">
        <v>6.0</v>
      </c>
      <c r="D225" s="7" t="s">
        <v>79</v>
      </c>
      <c r="E225" s="7" t="s">
        <v>110</v>
      </c>
      <c r="F225" s="7" t="s">
        <v>55</v>
      </c>
      <c r="G225" s="12" t="s">
        <v>607</v>
      </c>
      <c r="H225" s="12" t="s">
        <v>78</v>
      </c>
    </row>
    <row r="226" ht="15.75" customHeight="1">
      <c r="A226" s="7">
        <v>967114.0</v>
      </c>
      <c r="B226" s="9">
        <v>44816.0</v>
      </c>
      <c r="C226" s="7">
        <v>6.0</v>
      </c>
      <c r="D226" s="7" t="s">
        <v>82</v>
      </c>
      <c r="E226" s="7" t="s">
        <v>110</v>
      </c>
      <c r="F226" s="7" t="s">
        <v>55</v>
      </c>
      <c r="G226" s="12" t="s">
        <v>611</v>
      </c>
      <c r="H226" s="12" t="s">
        <v>103</v>
      </c>
    </row>
    <row r="227" ht="15.75" customHeight="1">
      <c r="A227" s="7">
        <v>225757.0</v>
      </c>
      <c r="B227" s="9">
        <v>44815.0</v>
      </c>
      <c r="C227" s="7">
        <v>2.0</v>
      </c>
      <c r="D227" s="7" t="s">
        <v>53</v>
      </c>
      <c r="E227" s="7" t="s">
        <v>66</v>
      </c>
      <c r="F227" s="7" t="s">
        <v>55</v>
      </c>
      <c r="G227" s="12" t="s">
        <v>615</v>
      </c>
      <c r="H227" s="12" t="s">
        <v>71</v>
      </c>
    </row>
    <row r="228" ht="15.75" customHeight="1">
      <c r="A228" s="7">
        <v>1258792.0</v>
      </c>
      <c r="B228" s="9">
        <v>44811.0</v>
      </c>
      <c r="C228" s="7">
        <v>1.0</v>
      </c>
      <c r="D228" s="7" t="s">
        <v>53</v>
      </c>
      <c r="E228" s="7" t="s">
        <v>83</v>
      </c>
      <c r="F228" s="7" t="s">
        <v>55</v>
      </c>
      <c r="G228" s="12" t="s">
        <v>617</v>
      </c>
      <c r="H228" s="12" t="s">
        <v>78</v>
      </c>
    </row>
    <row r="229" ht="15.75" customHeight="1">
      <c r="A229" s="7">
        <v>621840.0</v>
      </c>
      <c r="B229" s="9">
        <v>44809.0</v>
      </c>
      <c r="C229" s="7">
        <v>7.0</v>
      </c>
      <c r="D229" s="7" t="s">
        <v>76</v>
      </c>
      <c r="E229" s="7" t="s">
        <v>110</v>
      </c>
      <c r="F229" s="7" t="s">
        <v>55</v>
      </c>
      <c r="G229" s="12" t="s">
        <v>618</v>
      </c>
      <c r="H229" s="12" t="s">
        <v>75</v>
      </c>
    </row>
    <row r="230" ht="15.75" customHeight="1">
      <c r="A230" s="7">
        <v>1060353.0</v>
      </c>
      <c r="B230" s="9">
        <v>44806.0</v>
      </c>
      <c r="C230" s="7">
        <v>10.0</v>
      </c>
      <c r="D230" s="7" t="s">
        <v>79</v>
      </c>
      <c r="E230" s="7" t="s">
        <v>142</v>
      </c>
      <c r="F230" s="7" t="s">
        <v>55</v>
      </c>
      <c r="G230" s="12" t="s">
        <v>622</v>
      </c>
      <c r="H230" s="12" t="s">
        <v>75</v>
      </c>
    </row>
    <row r="231" ht="15.75" customHeight="1">
      <c r="A231" s="7">
        <v>408563.0</v>
      </c>
      <c r="B231" s="9">
        <v>44798.0</v>
      </c>
      <c r="C231" s="7">
        <v>9.0</v>
      </c>
      <c r="D231" s="7" t="s">
        <v>79</v>
      </c>
      <c r="E231" s="7" t="s">
        <v>80</v>
      </c>
      <c r="F231" s="7" t="s">
        <v>55</v>
      </c>
      <c r="G231" s="12" t="s">
        <v>624</v>
      </c>
      <c r="H231" s="12" t="s">
        <v>75</v>
      </c>
    </row>
    <row r="232" ht="15.75" customHeight="1">
      <c r="A232" s="7">
        <v>603353.0</v>
      </c>
      <c r="B232" s="9">
        <v>44795.0</v>
      </c>
      <c r="C232" s="7">
        <v>1.0</v>
      </c>
      <c r="D232" s="7" t="s">
        <v>53</v>
      </c>
      <c r="E232" s="7" t="s">
        <v>66</v>
      </c>
      <c r="F232" s="7" t="s">
        <v>55</v>
      </c>
      <c r="G232" s="12" t="s">
        <v>627</v>
      </c>
      <c r="H232" s="12" t="s">
        <v>78</v>
      </c>
    </row>
    <row r="233" ht="15.75" customHeight="1">
      <c r="A233" s="7">
        <v>1273177.0</v>
      </c>
      <c r="B233" s="9">
        <v>44792.0</v>
      </c>
      <c r="C233" s="7">
        <v>6.0</v>
      </c>
      <c r="D233" s="7" t="s">
        <v>79</v>
      </c>
      <c r="E233" s="7" t="s">
        <v>110</v>
      </c>
      <c r="F233" s="7" t="s">
        <v>55</v>
      </c>
      <c r="G233" s="12" t="s">
        <v>631</v>
      </c>
      <c r="H233" s="12" t="s">
        <v>71</v>
      </c>
    </row>
    <row r="234" ht="15.75" customHeight="1">
      <c r="A234" s="7">
        <v>556011.0</v>
      </c>
      <c r="B234" s="9">
        <v>44782.0</v>
      </c>
      <c r="C234" s="7">
        <v>6.0</v>
      </c>
      <c r="D234" s="7" t="s">
        <v>53</v>
      </c>
      <c r="E234" s="7" t="s">
        <v>66</v>
      </c>
      <c r="F234" s="7" t="s">
        <v>55</v>
      </c>
      <c r="G234" s="12" t="s">
        <v>634</v>
      </c>
      <c r="H234" s="12" t="s">
        <v>75</v>
      </c>
    </row>
    <row r="235" ht="15.75" customHeight="1">
      <c r="A235" s="7">
        <v>255451.0</v>
      </c>
      <c r="B235" s="9">
        <v>44767.0</v>
      </c>
      <c r="C235" s="7">
        <v>1.0</v>
      </c>
      <c r="D235" s="7" t="s">
        <v>53</v>
      </c>
      <c r="E235" s="7" t="s">
        <v>66</v>
      </c>
      <c r="F235" s="7" t="s">
        <v>55</v>
      </c>
      <c r="G235" s="12" t="s">
        <v>638</v>
      </c>
      <c r="H235" s="12" t="s">
        <v>78</v>
      </c>
    </row>
    <row r="236" ht="15.75" customHeight="1">
      <c r="A236" s="7">
        <v>975692.0</v>
      </c>
      <c r="B236" s="9">
        <v>44767.0</v>
      </c>
      <c r="C236" s="7">
        <v>1.0</v>
      </c>
      <c r="D236" s="7" t="s">
        <v>82</v>
      </c>
      <c r="E236" s="7" t="s">
        <v>80</v>
      </c>
      <c r="F236" s="7" t="s">
        <v>55</v>
      </c>
      <c r="G236" s="12" t="s">
        <v>642</v>
      </c>
      <c r="H236" s="12" t="s">
        <v>78</v>
      </c>
    </row>
    <row r="237" ht="15.75" customHeight="1">
      <c r="A237" s="7">
        <v>1325727.0</v>
      </c>
      <c r="B237" s="9">
        <v>44756.0</v>
      </c>
      <c r="C237" s="7">
        <v>9.0</v>
      </c>
      <c r="D237" s="7" t="s">
        <v>79</v>
      </c>
      <c r="E237" s="7" t="s">
        <v>110</v>
      </c>
      <c r="F237" s="7" t="s">
        <v>55</v>
      </c>
      <c r="G237" s="12" t="s">
        <v>644</v>
      </c>
      <c r="H237" s="12" t="s">
        <v>78</v>
      </c>
    </row>
    <row r="238" ht="15.75" customHeight="1">
      <c r="A238" s="7">
        <v>281889.0</v>
      </c>
      <c r="B238" s="9">
        <v>44755.0</v>
      </c>
      <c r="C238" s="7">
        <v>6.0</v>
      </c>
      <c r="D238" s="7" t="s">
        <v>53</v>
      </c>
      <c r="E238" s="7" t="s">
        <v>381</v>
      </c>
      <c r="F238" s="7" t="s">
        <v>55</v>
      </c>
      <c r="G238" s="12" t="s">
        <v>648</v>
      </c>
      <c r="H238" s="12" t="s">
        <v>78</v>
      </c>
    </row>
    <row r="239" ht="15.75" customHeight="1">
      <c r="A239" s="7">
        <v>1217935.0</v>
      </c>
      <c r="B239" s="9">
        <v>44752.0</v>
      </c>
      <c r="C239" s="7">
        <v>6.0</v>
      </c>
      <c r="D239" s="7" t="s">
        <v>53</v>
      </c>
      <c r="E239" s="7" t="s">
        <v>80</v>
      </c>
      <c r="F239" s="7" t="s">
        <v>55</v>
      </c>
      <c r="G239" s="12" t="s">
        <v>651</v>
      </c>
      <c r="H239" s="12" t="s">
        <v>78</v>
      </c>
    </row>
    <row r="240" ht="15.75" customHeight="1">
      <c r="A240" s="7">
        <v>702613.0</v>
      </c>
      <c r="B240" s="9">
        <v>44750.0</v>
      </c>
      <c r="C240" s="7">
        <v>6.0</v>
      </c>
      <c r="D240" s="7" t="s">
        <v>53</v>
      </c>
      <c r="E240" s="7" t="s">
        <v>655</v>
      </c>
      <c r="F240" s="7" t="s">
        <v>55</v>
      </c>
      <c r="G240" s="12" t="s">
        <v>656</v>
      </c>
      <c r="H240" s="12" t="s">
        <v>71</v>
      </c>
    </row>
    <row r="241" ht="15.75" customHeight="1">
      <c r="A241" s="7">
        <v>286424.0</v>
      </c>
      <c r="B241" s="9">
        <v>44747.0</v>
      </c>
      <c r="C241" s="7">
        <v>3.0</v>
      </c>
      <c r="D241" s="7" t="s">
        <v>53</v>
      </c>
      <c r="E241" s="7" t="s">
        <v>66</v>
      </c>
      <c r="F241" s="7" t="s">
        <v>55</v>
      </c>
      <c r="G241" s="12" t="s">
        <v>659</v>
      </c>
      <c r="H241" s="12" t="s">
        <v>103</v>
      </c>
    </row>
    <row r="242" ht="15.75" customHeight="1">
      <c r="A242" s="7">
        <v>964669.0</v>
      </c>
      <c r="B242" s="9">
        <v>44744.0</v>
      </c>
      <c r="C242" s="7">
        <v>4.0</v>
      </c>
      <c r="D242" s="7" t="s">
        <v>53</v>
      </c>
      <c r="E242" s="7" t="s">
        <v>80</v>
      </c>
      <c r="F242" s="7" t="s">
        <v>55</v>
      </c>
      <c r="G242" s="12" t="s">
        <v>661</v>
      </c>
      <c r="H242" s="12" t="s">
        <v>71</v>
      </c>
    </row>
    <row r="243" ht="15.75" customHeight="1">
      <c r="A243" s="7">
        <v>311983.0</v>
      </c>
      <c r="B243" s="9">
        <v>44742.0</v>
      </c>
      <c r="C243" s="7">
        <v>6.0</v>
      </c>
      <c r="D243" s="7" t="s">
        <v>82</v>
      </c>
      <c r="E243" s="7" t="s">
        <v>80</v>
      </c>
      <c r="F243" s="7" t="s">
        <v>55</v>
      </c>
      <c r="G243" s="12" t="s">
        <v>663</v>
      </c>
      <c r="H243" s="12" t="s">
        <v>75</v>
      </c>
    </row>
    <row r="244" ht="15.75" customHeight="1">
      <c r="A244" s="7">
        <v>598061.0</v>
      </c>
      <c r="B244" s="9">
        <v>44735.0</v>
      </c>
      <c r="C244" s="7">
        <v>1.0</v>
      </c>
      <c r="D244" s="7" t="s">
        <v>53</v>
      </c>
      <c r="E244" s="7" t="s">
        <v>66</v>
      </c>
      <c r="F244" s="7" t="s">
        <v>55</v>
      </c>
      <c r="G244" s="12" t="s">
        <v>667</v>
      </c>
      <c r="H244" s="12" t="s">
        <v>78</v>
      </c>
    </row>
    <row r="245" ht="15.75" customHeight="1">
      <c r="A245" s="7">
        <v>996310.0</v>
      </c>
      <c r="B245" s="9">
        <v>44735.0</v>
      </c>
      <c r="C245" s="7">
        <v>10.0</v>
      </c>
      <c r="D245" s="7" t="s">
        <v>53</v>
      </c>
      <c r="E245" s="7" t="s">
        <v>110</v>
      </c>
      <c r="F245" s="7" t="s">
        <v>55</v>
      </c>
      <c r="G245" s="12" t="s">
        <v>670</v>
      </c>
      <c r="H245" s="12" t="s">
        <v>90</v>
      </c>
    </row>
    <row r="246" ht="15.75" customHeight="1">
      <c r="A246" s="7">
        <v>242261.0</v>
      </c>
      <c r="B246" s="9">
        <v>44734.0</v>
      </c>
      <c r="C246" s="7">
        <v>8.0</v>
      </c>
      <c r="D246" s="7" t="s">
        <v>53</v>
      </c>
      <c r="E246" s="7" t="s">
        <v>80</v>
      </c>
      <c r="F246" s="7" t="s">
        <v>55</v>
      </c>
      <c r="G246" s="12" t="s">
        <v>671</v>
      </c>
      <c r="H246" s="12" t="s">
        <v>78</v>
      </c>
    </row>
    <row r="247" ht="15.75" customHeight="1">
      <c r="A247" s="7">
        <v>988107.0</v>
      </c>
      <c r="B247" s="9">
        <v>44727.0</v>
      </c>
      <c r="C247" s="7">
        <v>6.0</v>
      </c>
      <c r="D247" s="7" t="s">
        <v>53</v>
      </c>
      <c r="E247" s="7" t="s">
        <v>66</v>
      </c>
      <c r="F247" s="7" t="s">
        <v>55</v>
      </c>
      <c r="G247" s="12" t="s">
        <v>675</v>
      </c>
      <c r="H247" s="12" t="s">
        <v>68</v>
      </c>
    </row>
    <row r="248" ht="15.75" customHeight="1">
      <c r="A248" s="7">
        <v>931182.0</v>
      </c>
      <c r="B248" s="9">
        <v>44706.0</v>
      </c>
      <c r="C248" s="7">
        <v>8.0</v>
      </c>
      <c r="D248" s="7" t="s">
        <v>53</v>
      </c>
      <c r="E248" s="7" t="s">
        <v>66</v>
      </c>
      <c r="F248" s="7" t="s">
        <v>55</v>
      </c>
      <c r="G248" s="12" t="s">
        <v>680</v>
      </c>
      <c r="H248" s="12" t="s">
        <v>75</v>
      </c>
    </row>
    <row r="249" ht="15.75" customHeight="1">
      <c r="A249" s="7">
        <v>603353.0</v>
      </c>
      <c r="B249" s="9">
        <v>44705.0</v>
      </c>
      <c r="C249" s="7">
        <v>1.0</v>
      </c>
      <c r="D249" s="7" t="s">
        <v>53</v>
      </c>
      <c r="E249" s="7" t="s">
        <v>66</v>
      </c>
      <c r="F249" s="7" t="s">
        <v>55</v>
      </c>
      <c r="G249" s="12" t="s">
        <v>684</v>
      </c>
      <c r="H249" s="12" t="s">
        <v>78</v>
      </c>
    </row>
    <row r="250" ht="15.75" customHeight="1">
      <c r="A250" s="7">
        <v>642867.0</v>
      </c>
      <c r="B250" s="9">
        <v>44700.0</v>
      </c>
      <c r="C250" s="7">
        <v>6.0</v>
      </c>
      <c r="D250" s="7" t="s">
        <v>53</v>
      </c>
      <c r="E250" s="7" t="s">
        <v>66</v>
      </c>
      <c r="F250" s="7" t="s">
        <v>55</v>
      </c>
      <c r="G250" s="12" t="s">
        <v>690</v>
      </c>
      <c r="H250" s="12" t="s">
        <v>75</v>
      </c>
    </row>
    <row r="251" ht="15.75" customHeight="1">
      <c r="A251" s="7">
        <v>1012435.0</v>
      </c>
      <c r="B251" s="9">
        <v>44699.0</v>
      </c>
      <c r="C251" s="7">
        <v>5.0</v>
      </c>
      <c r="D251" s="7" t="s">
        <v>79</v>
      </c>
      <c r="E251" s="7" t="s">
        <v>80</v>
      </c>
      <c r="F251" s="7" t="s">
        <v>55</v>
      </c>
      <c r="G251" s="12" t="s">
        <v>693</v>
      </c>
      <c r="H251" s="12" t="s">
        <v>78</v>
      </c>
    </row>
    <row r="252" ht="15.75" customHeight="1">
      <c r="A252" s="7">
        <v>235656.0</v>
      </c>
      <c r="B252" s="9">
        <v>44699.0</v>
      </c>
      <c r="C252" s="7">
        <v>7.0</v>
      </c>
      <c r="D252" s="7" t="s">
        <v>53</v>
      </c>
      <c r="E252" s="7" t="s">
        <v>80</v>
      </c>
      <c r="F252" s="7" t="s">
        <v>55</v>
      </c>
      <c r="G252" s="12" t="s">
        <v>699</v>
      </c>
      <c r="H252" s="12" t="s">
        <v>78</v>
      </c>
    </row>
    <row r="253" ht="15.75" customHeight="1">
      <c r="A253" s="7">
        <v>1100346.0</v>
      </c>
      <c r="B253" s="9">
        <v>44694.0</v>
      </c>
      <c r="C253" s="7">
        <v>1.0</v>
      </c>
      <c r="D253" s="7" t="s">
        <v>53</v>
      </c>
      <c r="E253" s="7" t="s">
        <v>110</v>
      </c>
      <c r="F253" s="7" t="s">
        <v>55</v>
      </c>
      <c r="G253" s="12" t="s">
        <v>704</v>
      </c>
      <c r="H253" s="12" t="s">
        <v>75</v>
      </c>
    </row>
    <row r="254" ht="15.75" customHeight="1">
      <c r="A254" s="7">
        <v>896776.0</v>
      </c>
      <c r="B254" s="9">
        <v>44694.0</v>
      </c>
      <c r="C254" s="7">
        <v>1.0</v>
      </c>
      <c r="D254" s="7" t="s">
        <v>79</v>
      </c>
      <c r="E254" s="7" t="s">
        <v>80</v>
      </c>
      <c r="F254" s="7" t="s">
        <v>55</v>
      </c>
      <c r="G254" s="12" t="s">
        <v>706</v>
      </c>
      <c r="H254" s="12" t="s">
        <v>78</v>
      </c>
    </row>
    <row r="255" ht="15.75" customHeight="1">
      <c r="A255" s="7">
        <v>527133.0</v>
      </c>
      <c r="B255" s="9">
        <v>44687.0</v>
      </c>
      <c r="C255" s="7">
        <v>5.0</v>
      </c>
      <c r="D255" s="7" t="s">
        <v>79</v>
      </c>
      <c r="E255" s="7" t="s">
        <v>80</v>
      </c>
      <c r="F255" s="7" t="s">
        <v>55</v>
      </c>
      <c r="G255" s="12" t="s">
        <v>710</v>
      </c>
      <c r="H255" s="12" t="s">
        <v>78</v>
      </c>
    </row>
    <row r="256" ht="15.75" customHeight="1">
      <c r="A256" s="7">
        <v>1078286.0</v>
      </c>
      <c r="B256" s="9">
        <v>44687.0</v>
      </c>
      <c r="C256" s="7">
        <v>2.0</v>
      </c>
      <c r="D256" s="7" t="s">
        <v>53</v>
      </c>
      <c r="E256" s="7" t="s">
        <v>110</v>
      </c>
      <c r="F256" s="7" t="s">
        <v>55</v>
      </c>
      <c r="G256" s="12" t="s">
        <v>715</v>
      </c>
      <c r="H256" s="12" t="s">
        <v>68</v>
      </c>
    </row>
    <row r="257" ht="15.75" customHeight="1">
      <c r="A257" s="7">
        <v>260617.0</v>
      </c>
      <c r="B257" s="9">
        <v>44678.0</v>
      </c>
      <c r="C257" s="7">
        <v>7.0</v>
      </c>
      <c r="D257" s="7" t="s">
        <v>53</v>
      </c>
      <c r="E257" s="7" t="s">
        <v>66</v>
      </c>
      <c r="F257" s="7" t="s">
        <v>55</v>
      </c>
      <c r="G257" s="12" t="s">
        <v>719</v>
      </c>
      <c r="H257" s="12" t="s">
        <v>71</v>
      </c>
    </row>
    <row r="258" ht="15.75" customHeight="1">
      <c r="A258" s="7">
        <v>580609.0</v>
      </c>
      <c r="B258" s="9">
        <v>44674.0</v>
      </c>
      <c r="C258" s="7">
        <v>1.0</v>
      </c>
      <c r="D258" s="7" t="s">
        <v>53</v>
      </c>
      <c r="E258" s="7" t="s">
        <v>80</v>
      </c>
      <c r="F258" s="7" t="s">
        <v>55</v>
      </c>
      <c r="G258" s="12" t="s">
        <v>723</v>
      </c>
      <c r="H258" s="12" t="s">
        <v>75</v>
      </c>
    </row>
    <row r="259" ht="15.75" customHeight="1">
      <c r="A259" s="7">
        <v>1031656.0</v>
      </c>
      <c r="B259" s="9">
        <v>44671.0</v>
      </c>
      <c r="C259" s="7">
        <v>1.0</v>
      </c>
      <c r="D259" s="7" t="s">
        <v>53</v>
      </c>
      <c r="E259" s="7" t="s">
        <v>80</v>
      </c>
      <c r="F259" s="7" t="s">
        <v>55</v>
      </c>
      <c r="G259" s="12" t="s">
        <v>728</v>
      </c>
      <c r="H259" s="12" t="s">
        <v>78</v>
      </c>
    </row>
    <row r="260" ht="15.75" customHeight="1">
      <c r="A260" s="7">
        <v>553635.0</v>
      </c>
      <c r="B260" s="9">
        <v>44666.0</v>
      </c>
      <c r="C260" s="7">
        <v>6.0</v>
      </c>
      <c r="D260" s="7" t="s">
        <v>53</v>
      </c>
      <c r="E260" s="7" t="s">
        <v>66</v>
      </c>
      <c r="F260" s="7" t="s">
        <v>55</v>
      </c>
      <c r="G260" s="12" t="s">
        <v>732</v>
      </c>
      <c r="H260" s="12" t="s">
        <v>75</v>
      </c>
    </row>
    <row r="261" ht="15.75" customHeight="1">
      <c r="A261" s="7">
        <v>334160.0</v>
      </c>
      <c r="B261" s="9">
        <v>44638.0</v>
      </c>
      <c r="C261" s="7">
        <v>7.0</v>
      </c>
      <c r="D261" s="7" t="s">
        <v>53</v>
      </c>
      <c r="E261" s="7" t="s">
        <v>66</v>
      </c>
      <c r="F261" s="7" t="s">
        <v>55</v>
      </c>
      <c r="G261" s="12" t="s">
        <v>736</v>
      </c>
      <c r="H261" s="12" t="s">
        <v>78</v>
      </c>
    </row>
    <row r="262" ht="15.75" customHeight="1">
      <c r="A262" s="7">
        <v>339536.0</v>
      </c>
      <c r="B262" s="9">
        <v>44638.0</v>
      </c>
      <c r="C262" s="7">
        <v>1.0</v>
      </c>
      <c r="D262" s="7" t="s">
        <v>53</v>
      </c>
      <c r="E262" s="7" t="s">
        <v>80</v>
      </c>
      <c r="F262" s="7" t="s">
        <v>55</v>
      </c>
      <c r="G262" s="12" t="s">
        <v>741</v>
      </c>
      <c r="H262" s="12" t="s">
        <v>78</v>
      </c>
    </row>
    <row r="263" ht="15.75" customHeight="1">
      <c r="A263" s="7">
        <v>745468.0</v>
      </c>
      <c r="B263" s="9">
        <v>44627.0</v>
      </c>
      <c r="C263" s="7">
        <v>7.0</v>
      </c>
      <c r="D263" s="7" t="s">
        <v>79</v>
      </c>
      <c r="E263" s="7" t="s">
        <v>80</v>
      </c>
      <c r="F263" s="7" t="s">
        <v>55</v>
      </c>
      <c r="G263" s="12" t="s">
        <v>750</v>
      </c>
      <c r="H263" s="12" t="s">
        <v>68</v>
      </c>
    </row>
    <row r="264" ht="15.75" customHeight="1">
      <c r="A264" s="7">
        <v>765826.0</v>
      </c>
      <c r="B264" s="9">
        <v>44626.0</v>
      </c>
      <c r="C264" s="7">
        <v>9.0</v>
      </c>
      <c r="D264" s="7" t="s">
        <v>53</v>
      </c>
      <c r="E264" s="7" t="s">
        <v>66</v>
      </c>
      <c r="F264" s="7" t="s">
        <v>55</v>
      </c>
      <c r="G264" s="12" t="s">
        <v>755</v>
      </c>
      <c r="H264" s="12" t="s">
        <v>78</v>
      </c>
    </row>
    <row r="265" ht="15.75" customHeight="1">
      <c r="A265" s="7">
        <v>679397.0</v>
      </c>
      <c r="B265" s="9">
        <v>44610.0</v>
      </c>
      <c r="C265" s="7">
        <v>1.0</v>
      </c>
      <c r="D265" s="7" t="s">
        <v>53</v>
      </c>
      <c r="E265" s="7" t="s">
        <v>110</v>
      </c>
      <c r="F265" s="7" t="s">
        <v>55</v>
      </c>
      <c r="G265" s="12" t="s">
        <v>759</v>
      </c>
      <c r="H265" s="12" t="s">
        <v>103</v>
      </c>
    </row>
    <row r="266" ht="15.75" customHeight="1">
      <c r="A266" s="7">
        <v>792613.0</v>
      </c>
      <c r="B266" s="9">
        <v>44602.0</v>
      </c>
      <c r="C266" s="7">
        <v>4.0</v>
      </c>
      <c r="D266" s="7" t="s">
        <v>53</v>
      </c>
      <c r="E266" s="7" t="s">
        <v>66</v>
      </c>
      <c r="F266" s="7" t="s">
        <v>55</v>
      </c>
      <c r="G266" s="12" t="s">
        <v>762</v>
      </c>
      <c r="H266" s="12" t="s">
        <v>78</v>
      </c>
    </row>
    <row r="267" ht="15.75" customHeight="1">
      <c r="A267" s="7">
        <v>663284.0</v>
      </c>
      <c r="B267" s="9">
        <v>44599.0</v>
      </c>
      <c r="C267" s="7">
        <v>2.0</v>
      </c>
      <c r="D267" s="7" t="s">
        <v>53</v>
      </c>
      <c r="E267" s="7" t="s">
        <v>80</v>
      </c>
      <c r="F267" s="7" t="s">
        <v>55</v>
      </c>
      <c r="G267" s="12" t="s">
        <v>764</v>
      </c>
      <c r="H267" s="12" t="s">
        <v>78</v>
      </c>
    </row>
    <row r="268" ht="15.75" customHeight="1">
      <c r="A268" s="7">
        <v>535144.0</v>
      </c>
      <c r="B268" s="9">
        <v>44592.0</v>
      </c>
      <c r="C268" s="7">
        <v>2.0</v>
      </c>
      <c r="D268" s="7" t="s">
        <v>53</v>
      </c>
      <c r="E268" s="7" t="s">
        <v>66</v>
      </c>
      <c r="F268" s="7" t="s">
        <v>55</v>
      </c>
      <c r="G268" s="12" t="s">
        <v>841</v>
      </c>
      <c r="H268" s="12" t="s">
        <v>68</v>
      </c>
    </row>
    <row r="269" ht="15.75" customHeight="1">
      <c r="A269" s="7">
        <v>712708.0</v>
      </c>
      <c r="B269" s="9">
        <v>44590.0</v>
      </c>
      <c r="C269" s="7">
        <v>1.0</v>
      </c>
      <c r="D269" s="7" t="s">
        <v>53</v>
      </c>
      <c r="E269" s="7" t="s">
        <v>80</v>
      </c>
      <c r="F269" s="7" t="s">
        <v>55</v>
      </c>
      <c r="G269" s="12" t="s">
        <v>845</v>
      </c>
      <c r="H269" s="12" t="s">
        <v>78</v>
      </c>
    </row>
    <row r="270" ht="15.75" customHeight="1">
      <c r="A270" s="7">
        <v>213313.0</v>
      </c>
      <c r="B270" s="9">
        <v>44587.0</v>
      </c>
      <c r="C270" s="7">
        <v>6.0</v>
      </c>
      <c r="D270" s="7" t="s">
        <v>53</v>
      </c>
      <c r="E270" s="7" t="s">
        <v>80</v>
      </c>
      <c r="F270" s="7" t="s">
        <v>55</v>
      </c>
      <c r="G270" s="12" t="s">
        <v>847</v>
      </c>
      <c r="H270" s="12" t="s">
        <v>78</v>
      </c>
    </row>
    <row r="271" ht="15.75" customHeight="1">
      <c r="A271" s="7">
        <v>240496.0</v>
      </c>
      <c r="B271" s="9">
        <v>44582.0</v>
      </c>
      <c r="C271" s="7">
        <v>3.0</v>
      </c>
      <c r="D271" s="7" t="s">
        <v>82</v>
      </c>
      <c r="E271" s="7" t="s">
        <v>347</v>
      </c>
      <c r="F271" s="7" t="s">
        <v>55</v>
      </c>
      <c r="G271" s="12" t="s">
        <v>848</v>
      </c>
      <c r="H271" s="12" t="s">
        <v>78</v>
      </c>
    </row>
    <row r="272" ht="15.75" customHeight="1">
      <c r="A272" s="7">
        <v>488277.0</v>
      </c>
      <c r="B272" s="9">
        <v>44573.0</v>
      </c>
      <c r="C272" s="7">
        <v>4.0</v>
      </c>
      <c r="D272" s="7" t="s">
        <v>79</v>
      </c>
      <c r="E272" s="7" t="s">
        <v>110</v>
      </c>
      <c r="F272" s="7" t="s">
        <v>55</v>
      </c>
      <c r="G272" s="12" t="s">
        <v>851</v>
      </c>
      <c r="H272" s="12" t="s">
        <v>103</v>
      </c>
    </row>
    <row r="273" ht="15.75" customHeight="1">
      <c r="A273" s="7">
        <v>630653.0</v>
      </c>
      <c r="B273" s="9">
        <v>44570.0</v>
      </c>
      <c r="C273" s="7">
        <v>2.0</v>
      </c>
      <c r="D273" s="7" t="s">
        <v>79</v>
      </c>
      <c r="E273" s="7" t="s">
        <v>80</v>
      </c>
      <c r="F273" s="7" t="s">
        <v>55</v>
      </c>
      <c r="G273" s="12" t="s">
        <v>852</v>
      </c>
      <c r="H273" s="12" t="s">
        <v>68</v>
      </c>
    </row>
    <row r="274" ht="15.75" customHeight="1">
      <c r="A274" s="7">
        <v>329576.0</v>
      </c>
      <c r="B274" s="9">
        <v>44565.0</v>
      </c>
      <c r="C274" s="7">
        <v>4.0</v>
      </c>
      <c r="D274" s="7" t="s">
        <v>79</v>
      </c>
      <c r="E274" s="7" t="s">
        <v>110</v>
      </c>
      <c r="F274" s="7" t="s">
        <v>55</v>
      </c>
      <c r="G274" s="12" t="s">
        <v>855</v>
      </c>
      <c r="H274" s="12" t="s">
        <v>78</v>
      </c>
    </row>
    <row r="275" ht="15.75" customHeight="1">
      <c r="A275" s="7">
        <v>462803.0</v>
      </c>
      <c r="B275" s="9">
        <v>44563.0</v>
      </c>
      <c r="C275" s="7">
        <v>1.0</v>
      </c>
      <c r="D275" s="7" t="s">
        <v>79</v>
      </c>
      <c r="E275" s="7" t="s">
        <v>80</v>
      </c>
      <c r="F275" s="7" t="s">
        <v>55</v>
      </c>
      <c r="G275" s="12" t="s">
        <v>856</v>
      </c>
      <c r="H275" s="12" t="s">
        <v>68</v>
      </c>
    </row>
    <row r="276" ht="15.75" customHeight="1">
      <c r="A276" s="7">
        <v>668760.0</v>
      </c>
      <c r="B276" s="9">
        <v>44562.0</v>
      </c>
      <c r="C276" s="7">
        <v>6.0</v>
      </c>
      <c r="D276" s="7" t="s">
        <v>79</v>
      </c>
      <c r="E276" s="7" t="s">
        <v>80</v>
      </c>
      <c r="F276" s="7" t="s">
        <v>55</v>
      </c>
      <c r="G276" s="12" t="s">
        <v>858</v>
      </c>
      <c r="H276" s="12" t="s">
        <v>71</v>
      </c>
    </row>
    <row r="277" ht="15.75" customHeight="1">
      <c r="A277" s="7">
        <v>350919.0</v>
      </c>
      <c r="B277" s="9">
        <v>44529.0</v>
      </c>
      <c r="C277" s="7">
        <v>1.0</v>
      </c>
      <c r="D277" s="7" t="s">
        <v>79</v>
      </c>
      <c r="E277" s="7" t="s">
        <v>110</v>
      </c>
      <c r="F277" s="7" t="s">
        <v>55</v>
      </c>
      <c r="G277" s="12" t="s">
        <v>859</v>
      </c>
      <c r="H277" s="12" t="s">
        <v>78</v>
      </c>
    </row>
    <row r="278" ht="15.75" customHeight="1">
      <c r="A278" s="7">
        <v>273805.0</v>
      </c>
      <c r="B278" s="9">
        <v>44527.0</v>
      </c>
      <c r="C278" s="7">
        <v>2.0</v>
      </c>
      <c r="D278" s="7" t="s">
        <v>53</v>
      </c>
      <c r="E278" s="7" t="s">
        <v>80</v>
      </c>
      <c r="F278" s="7" t="s">
        <v>55</v>
      </c>
      <c r="G278" s="12" t="s">
        <v>861</v>
      </c>
      <c r="H278" s="12" t="s">
        <v>78</v>
      </c>
    </row>
    <row r="279" ht="15.75" customHeight="1">
      <c r="A279" s="7">
        <v>246072.0</v>
      </c>
      <c r="B279" s="9">
        <v>44508.0</v>
      </c>
      <c r="C279" s="7">
        <v>6.0</v>
      </c>
      <c r="D279" s="7" t="s">
        <v>53</v>
      </c>
      <c r="E279" s="7" t="s">
        <v>80</v>
      </c>
      <c r="F279" s="7" t="s">
        <v>55</v>
      </c>
      <c r="G279" s="12" t="s">
        <v>863</v>
      </c>
      <c r="H279" s="12" t="s">
        <v>78</v>
      </c>
    </row>
    <row r="280" ht="15.75" customHeight="1">
      <c r="A280" s="7">
        <v>262049.0</v>
      </c>
      <c r="B280" s="9">
        <v>44506.0</v>
      </c>
      <c r="C280" s="7">
        <v>1.0</v>
      </c>
      <c r="D280" s="7" t="s">
        <v>53</v>
      </c>
      <c r="E280" s="7" t="s">
        <v>66</v>
      </c>
      <c r="F280" s="7" t="s">
        <v>55</v>
      </c>
      <c r="G280" s="12" t="s">
        <v>864</v>
      </c>
      <c r="H280" s="12" t="s">
        <v>75</v>
      </c>
    </row>
    <row r="281" ht="15.75" customHeight="1">
      <c r="A281" s="7">
        <v>213765.0</v>
      </c>
      <c r="B281" s="9">
        <v>44496.0</v>
      </c>
      <c r="C281" s="7">
        <v>9.0</v>
      </c>
      <c r="D281" s="7" t="s">
        <v>53</v>
      </c>
      <c r="E281" s="7" t="s">
        <v>80</v>
      </c>
      <c r="F281" s="7" t="s">
        <v>55</v>
      </c>
      <c r="G281" s="12" t="s">
        <v>867</v>
      </c>
      <c r="H281" s="12" t="s">
        <v>78</v>
      </c>
    </row>
    <row r="282" ht="15.75" customHeight="1">
      <c r="A282" s="7">
        <v>396216.0</v>
      </c>
      <c r="B282" s="9">
        <v>44487.0</v>
      </c>
      <c r="C282" s="7">
        <v>5.0</v>
      </c>
      <c r="D282" s="7" t="s">
        <v>53</v>
      </c>
      <c r="E282" s="7" t="s">
        <v>66</v>
      </c>
      <c r="F282" s="7" t="s">
        <v>55</v>
      </c>
      <c r="G282" s="12" t="s">
        <v>868</v>
      </c>
      <c r="H282" s="12" t="s">
        <v>78</v>
      </c>
    </row>
    <row r="283" ht="15.75" customHeight="1">
      <c r="A283" s="7">
        <v>313675.0</v>
      </c>
      <c r="B283" s="9">
        <v>44486.0</v>
      </c>
      <c r="C283" s="7">
        <v>1.0</v>
      </c>
      <c r="D283" s="7" t="s">
        <v>53</v>
      </c>
      <c r="E283" s="7" t="s">
        <v>66</v>
      </c>
      <c r="F283" s="7" t="s">
        <v>55</v>
      </c>
      <c r="G283" s="12" t="s">
        <v>870</v>
      </c>
      <c r="H283" s="12" t="s">
        <v>78</v>
      </c>
    </row>
    <row r="284" ht="15.75" customHeight="1">
      <c r="A284" s="7">
        <v>242261.0</v>
      </c>
      <c r="B284" s="9">
        <v>44480.0</v>
      </c>
      <c r="C284" s="7">
        <v>7.0</v>
      </c>
      <c r="D284" s="7" t="s">
        <v>53</v>
      </c>
      <c r="E284" s="7" t="s">
        <v>80</v>
      </c>
      <c r="F284" s="7" t="s">
        <v>55</v>
      </c>
      <c r="G284" s="12" t="s">
        <v>872</v>
      </c>
      <c r="H284" s="12" t="s">
        <v>78</v>
      </c>
    </row>
    <row r="285" ht="15.75" customHeight="1">
      <c r="A285" s="7">
        <v>284063.0</v>
      </c>
      <c r="B285" s="9">
        <v>44474.0</v>
      </c>
      <c r="C285" s="7">
        <v>10.0</v>
      </c>
      <c r="D285" s="7" t="s">
        <v>82</v>
      </c>
      <c r="E285" s="7" t="s">
        <v>80</v>
      </c>
      <c r="F285" s="7" t="s">
        <v>55</v>
      </c>
      <c r="G285" s="12" t="s">
        <v>873</v>
      </c>
      <c r="H285" s="12" t="s">
        <v>75</v>
      </c>
    </row>
    <row r="286" ht="15.75" customHeight="1">
      <c r="A286" s="7">
        <v>109026.0</v>
      </c>
      <c r="B286" s="9">
        <v>44459.0</v>
      </c>
      <c r="C286" s="7">
        <v>1.0</v>
      </c>
      <c r="D286" s="7" t="s">
        <v>82</v>
      </c>
      <c r="E286" s="7" t="s">
        <v>124</v>
      </c>
      <c r="F286" s="7" t="s">
        <v>55</v>
      </c>
      <c r="G286" s="12" t="s">
        <v>874</v>
      </c>
      <c r="H286" s="12" t="s">
        <v>78</v>
      </c>
    </row>
    <row r="287" ht="15.75" customHeight="1">
      <c r="A287" s="7">
        <v>175270.0</v>
      </c>
      <c r="B287" s="9">
        <v>44448.0</v>
      </c>
      <c r="C287" s="7">
        <v>7.0</v>
      </c>
      <c r="D287" s="7" t="s">
        <v>79</v>
      </c>
      <c r="E287" s="7" t="s">
        <v>580</v>
      </c>
      <c r="F287" s="7" t="s">
        <v>55</v>
      </c>
      <c r="G287" s="12" t="s">
        <v>875</v>
      </c>
      <c r="H287" s="12" t="s">
        <v>71</v>
      </c>
    </row>
    <row r="288" ht="15.75" customHeight="1">
      <c r="A288" s="7">
        <v>262049.0</v>
      </c>
      <c r="B288" s="9">
        <v>44415.0</v>
      </c>
      <c r="C288" s="7">
        <v>2.0</v>
      </c>
      <c r="D288" s="7" t="s">
        <v>53</v>
      </c>
      <c r="E288" s="7" t="s">
        <v>66</v>
      </c>
      <c r="F288" s="7" t="s">
        <v>55</v>
      </c>
      <c r="G288" s="12" t="s">
        <v>876</v>
      </c>
      <c r="H288" s="12" t="s">
        <v>75</v>
      </c>
    </row>
    <row r="289" ht="15.75" customHeight="1">
      <c r="A289" s="7">
        <v>191632.0</v>
      </c>
      <c r="B289" s="9">
        <v>44414.0</v>
      </c>
      <c r="C289" s="7">
        <v>4.0</v>
      </c>
      <c r="D289" s="7" t="s">
        <v>79</v>
      </c>
      <c r="E289" s="7" t="s">
        <v>124</v>
      </c>
      <c r="F289" s="7" t="s">
        <v>55</v>
      </c>
      <c r="G289" s="12" t="s">
        <v>879</v>
      </c>
      <c r="H289" s="12" t="s">
        <v>78</v>
      </c>
    </row>
    <row r="290" ht="15.75" customHeight="1">
      <c r="A290" s="7">
        <v>241205.0</v>
      </c>
      <c r="B290" s="9">
        <v>44368.0</v>
      </c>
      <c r="C290" s="7">
        <v>4.0</v>
      </c>
      <c r="D290" s="7" t="s">
        <v>53</v>
      </c>
      <c r="E290" s="7" t="s">
        <v>80</v>
      </c>
      <c r="F290" s="7" t="s">
        <v>55</v>
      </c>
      <c r="G290" s="12" t="s">
        <v>881</v>
      </c>
      <c r="H290" s="12" t="s">
        <v>68</v>
      </c>
    </row>
    <row r="291" ht="15.75" customHeight="1">
      <c r="A291" s="7">
        <v>269777.0</v>
      </c>
      <c r="B291" s="9">
        <v>44352.0</v>
      </c>
      <c r="C291" s="7">
        <v>2.0</v>
      </c>
      <c r="D291" s="7" t="s">
        <v>53</v>
      </c>
      <c r="E291" s="7" t="s">
        <v>66</v>
      </c>
      <c r="F291" s="7" t="s">
        <v>55</v>
      </c>
      <c r="G291" s="12" t="s">
        <v>882</v>
      </c>
      <c r="H291" s="12" t="s">
        <v>78</v>
      </c>
    </row>
    <row r="292" ht="15.75" customHeight="1">
      <c r="A292" s="7">
        <v>148520.0</v>
      </c>
      <c r="B292" s="9">
        <v>44333.0</v>
      </c>
      <c r="C292" s="7">
        <v>10.0</v>
      </c>
      <c r="D292" s="7" t="s">
        <v>79</v>
      </c>
      <c r="E292" s="7" t="s">
        <v>124</v>
      </c>
      <c r="F292" s="7" t="s">
        <v>55</v>
      </c>
      <c r="G292" s="12" t="s">
        <v>883</v>
      </c>
      <c r="H292" s="12" t="s">
        <v>90</v>
      </c>
    </row>
    <row r="293" ht="15.75" customHeight="1">
      <c r="A293" s="7">
        <v>278785.0</v>
      </c>
      <c r="B293" s="9">
        <v>44330.0</v>
      </c>
      <c r="C293" s="7">
        <v>4.0</v>
      </c>
      <c r="D293" s="7" t="s">
        <v>53</v>
      </c>
      <c r="E293" s="7" t="s">
        <v>80</v>
      </c>
      <c r="F293" s="7" t="s">
        <v>55</v>
      </c>
      <c r="G293" s="12" t="s">
        <v>886</v>
      </c>
      <c r="H293" s="12" t="s">
        <v>75</v>
      </c>
    </row>
    <row r="294" ht="15.75" customHeight="1">
      <c r="A294" s="7">
        <v>241353.0</v>
      </c>
      <c r="B294" s="9">
        <v>44321.0</v>
      </c>
      <c r="C294" s="7">
        <v>9.0</v>
      </c>
      <c r="D294" s="7" t="s">
        <v>53</v>
      </c>
      <c r="E294" s="7" t="s">
        <v>66</v>
      </c>
      <c r="F294" s="7" t="s">
        <v>55</v>
      </c>
      <c r="G294" s="12" t="s">
        <v>887</v>
      </c>
      <c r="H294" s="12" t="s">
        <v>68</v>
      </c>
    </row>
    <row r="295" ht="15.75" customHeight="1">
      <c r="A295" s="7">
        <v>99325.0</v>
      </c>
      <c r="B295" s="9">
        <v>44314.0</v>
      </c>
      <c r="C295" s="7">
        <v>3.0</v>
      </c>
      <c r="D295" s="7" t="s">
        <v>53</v>
      </c>
      <c r="E295" s="7" t="s">
        <v>80</v>
      </c>
      <c r="F295" s="7" t="s">
        <v>55</v>
      </c>
      <c r="G295" s="12" t="s">
        <v>888</v>
      </c>
      <c r="H295" s="12" t="s">
        <v>78</v>
      </c>
    </row>
    <row r="296" ht="15.75" customHeight="1">
      <c r="A296" s="7">
        <v>138620.0</v>
      </c>
      <c r="B296" s="9">
        <v>44287.0</v>
      </c>
      <c r="C296" s="7">
        <v>2.0</v>
      </c>
      <c r="D296" s="7" t="s">
        <v>53</v>
      </c>
      <c r="E296" s="7" t="s">
        <v>124</v>
      </c>
      <c r="F296" s="7" t="s">
        <v>55</v>
      </c>
      <c r="G296" s="12" t="s">
        <v>889</v>
      </c>
      <c r="H296" s="12" t="s">
        <v>75</v>
      </c>
    </row>
    <row r="297" ht="15.75" customHeight="1">
      <c r="A297" s="7">
        <v>241205.0</v>
      </c>
      <c r="B297" s="9">
        <v>44277.0</v>
      </c>
      <c r="C297" s="7">
        <v>3.0</v>
      </c>
      <c r="D297" s="7" t="s">
        <v>53</v>
      </c>
      <c r="E297" s="7" t="s">
        <v>80</v>
      </c>
      <c r="F297" s="7" t="s">
        <v>55</v>
      </c>
      <c r="G297" s="12" t="s">
        <v>892</v>
      </c>
      <c r="H297" s="12" t="s">
        <v>78</v>
      </c>
    </row>
    <row r="298" ht="15.75" customHeight="1">
      <c r="A298" s="7">
        <v>132202.0</v>
      </c>
      <c r="B298" s="9">
        <v>44118.0</v>
      </c>
      <c r="C298" s="7">
        <v>2.0</v>
      </c>
      <c r="D298" s="7" t="s">
        <v>79</v>
      </c>
      <c r="E298" s="7" t="s">
        <v>124</v>
      </c>
      <c r="F298" s="7" t="s">
        <v>55</v>
      </c>
      <c r="G298" s="12" t="s">
        <v>893</v>
      </c>
      <c r="H298" s="12" t="s">
        <v>78</v>
      </c>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98"/>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3980890.0</v>
      </c>
      <c r="C2" s="9">
        <v>46246.0</v>
      </c>
      <c r="D2" s="7">
        <v>9.0</v>
      </c>
      <c r="E2" s="7" t="s">
        <v>53</v>
      </c>
      <c r="F2" s="7" t="s">
        <v>66</v>
      </c>
      <c r="G2" s="7" t="s">
        <v>55</v>
      </c>
      <c r="H2" s="12" t="s">
        <v>67</v>
      </c>
      <c r="I2" s="12" t="s">
        <v>96</v>
      </c>
    </row>
    <row r="3">
      <c r="A3" s="11" t="s">
        <v>49</v>
      </c>
      <c r="B3" s="7">
        <v>5197887.0</v>
      </c>
      <c r="C3" s="9">
        <v>46245.0</v>
      </c>
      <c r="D3" s="7">
        <v>1.0</v>
      </c>
      <c r="E3" s="7" t="s">
        <v>53</v>
      </c>
      <c r="F3" s="7" t="s">
        <v>80</v>
      </c>
      <c r="G3" s="7" t="s">
        <v>55</v>
      </c>
      <c r="H3" s="12" t="s">
        <v>101</v>
      </c>
      <c r="I3" s="12" t="s">
        <v>101</v>
      </c>
    </row>
    <row r="4">
      <c r="A4" s="11" t="s">
        <v>49</v>
      </c>
      <c r="B4" s="7">
        <v>1.0819108E7</v>
      </c>
      <c r="C4" s="9">
        <v>46217.0</v>
      </c>
      <c r="D4" s="7">
        <v>3.0</v>
      </c>
      <c r="E4" s="7" t="s">
        <v>53</v>
      </c>
      <c r="F4" s="7" t="s">
        <v>69</v>
      </c>
      <c r="G4" s="7" t="s">
        <v>55</v>
      </c>
      <c r="H4" s="12" t="s">
        <v>106</v>
      </c>
      <c r="I4" s="12" t="s">
        <v>107</v>
      </c>
    </row>
    <row r="5">
      <c r="A5" s="11" t="s">
        <v>49</v>
      </c>
      <c r="B5" s="7">
        <v>8273859.0</v>
      </c>
      <c r="C5" s="9">
        <v>46191.0</v>
      </c>
      <c r="D5" s="7">
        <v>5.0</v>
      </c>
      <c r="E5" s="7" t="s">
        <v>79</v>
      </c>
      <c r="F5" s="7" t="s">
        <v>110</v>
      </c>
      <c r="G5" s="7" t="s">
        <v>55</v>
      </c>
      <c r="H5" s="12" t="s">
        <v>111</v>
      </c>
      <c r="I5" s="12" t="s">
        <v>112</v>
      </c>
    </row>
    <row r="6">
      <c r="A6" s="11" t="s">
        <v>49</v>
      </c>
      <c r="B6" s="7">
        <v>6848029.0</v>
      </c>
      <c r="C6" s="9">
        <v>46183.0</v>
      </c>
      <c r="D6" s="7">
        <v>3.0</v>
      </c>
      <c r="E6" s="7" t="s">
        <v>79</v>
      </c>
      <c r="F6" s="7" t="s">
        <v>80</v>
      </c>
      <c r="G6" s="7" t="s">
        <v>55</v>
      </c>
      <c r="H6" s="12" t="s">
        <v>114</v>
      </c>
      <c r="I6" s="12" t="s">
        <v>115</v>
      </c>
    </row>
    <row r="7">
      <c r="A7" s="11" t="s">
        <v>49</v>
      </c>
      <c r="B7" s="7">
        <v>9166325.0</v>
      </c>
      <c r="C7" s="9">
        <v>46146.0</v>
      </c>
      <c r="D7" s="7">
        <v>1.0</v>
      </c>
      <c r="E7" s="7" t="s">
        <v>53</v>
      </c>
      <c r="F7" s="7" t="s">
        <v>69</v>
      </c>
      <c r="G7" s="7" t="s">
        <v>55</v>
      </c>
      <c r="H7" s="12" t="s">
        <v>117</v>
      </c>
      <c r="I7" s="12" t="s">
        <v>118</v>
      </c>
    </row>
    <row r="8">
      <c r="A8" s="11" t="s">
        <v>49</v>
      </c>
      <c r="B8" s="7">
        <v>6703977.0</v>
      </c>
      <c r="C8" s="9">
        <v>46121.0</v>
      </c>
      <c r="D8" s="7">
        <v>6.0</v>
      </c>
      <c r="E8" s="7" t="s">
        <v>53</v>
      </c>
      <c r="F8" s="7" t="s">
        <v>119</v>
      </c>
      <c r="G8" s="7" t="s">
        <v>55</v>
      </c>
      <c r="H8" s="12" t="s">
        <v>120</v>
      </c>
      <c r="I8" s="12" t="s">
        <v>121</v>
      </c>
    </row>
    <row r="9">
      <c r="A9" s="11" t="s">
        <v>49</v>
      </c>
      <c r="B9" s="7">
        <v>1487682.0</v>
      </c>
      <c r="C9" s="9">
        <v>46079.0</v>
      </c>
      <c r="D9" s="7">
        <v>2.0</v>
      </c>
      <c r="E9" s="7" t="s">
        <v>82</v>
      </c>
      <c r="F9" s="7" t="s">
        <v>124</v>
      </c>
      <c r="G9" s="7" t="s">
        <v>55</v>
      </c>
      <c r="H9" s="12" t="s">
        <v>126</v>
      </c>
      <c r="I9" s="12" t="s">
        <v>127</v>
      </c>
    </row>
    <row r="10">
      <c r="A10" s="11" t="s">
        <v>49</v>
      </c>
      <c r="B10" s="7">
        <v>8176083.0</v>
      </c>
      <c r="C10" s="9">
        <v>46063.0</v>
      </c>
      <c r="D10" s="7">
        <v>8.0</v>
      </c>
      <c r="E10" s="7" t="s">
        <v>53</v>
      </c>
      <c r="F10" s="7" t="s">
        <v>66</v>
      </c>
      <c r="G10" s="7" t="s">
        <v>55</v>
      </c>
      <c r="H10" s="12" t="s">
        <v>129</v>
      </c>
      <c r="I10" s="12" t="s">
        <v>131</v>
      </c>
    </row>
    <row r="11">
      <c r="A11" s="11" t="s">
        <v>49</v>
      </c>
      <c r="B11" s="7">
        <v>3974113.0</v>
      </c>
      <c r="C11" s="9">
        <v>46045.0</v>
      </c>
      <c r="D11" s="7">
        <v>6.0</v>
      </c>
      <c r="E11" s="7" t="s">
        <v>82</v>
      </c>
      <c r="F11" s="7" t="s">
        <v>110</v>
      </c>
      <c r="G11" s="7" t="s">
        <v>55</v>
      </c>
      <c r="H11" s="12" t="s">
        <v>133</v>
      </c>
      <c r="I11" s="12" t="s">
        <v>134</v>
      </c>
    </row>
    <row r="12">
      <c r="A12" s="11" t="s">
        <v>49</v>
      </c>
      <c r="B12" s="7">
        <v>6848029.0</v>
      </c>
      <c r="C12" s="9">
        <v>46010.0</v>
      </c>
      <c r="D12" s="7">
        <v>6.0</v>
      </c>
      <c r="E12" s="7" t="s">
        <v>79</v>
      </c>
      <c r="F12" s="7" t="s">
        <v>80</v>
      </c>
      <c r="G12" s="7" t="s">
        <v>55</v>
      </c>
      <c r="H12" s="12" t="s">
        <v>136</v>
      </c>
      <c r="I12" s="12" t="s">
        <v>137</v>
      </c>
    </row>
    <row r="13">
      <c r="A13" s="11" t="s">
        <v>49</v>
      </c>
      <c r="B13" s="7">
        <v>3105126.0</v>
      </c>
      <c r="C13" s="9">
        <v>45954.0</v>
      </c>
      <c r="D13" s="7">
        <v>3.0</v>
      </c>
      <c r="E13" s="7" t="s">
        <v>82</v>
      </c>
      <c r="F13" s="7" t="s">
        <v>83</v>
      </c>
      <c r="G13" s="7" t="s">
        <v>55</v>
      </c>
      <c r="H13" s="12" t="s">
        <v>140</v>
      </c>
      <c r="I13" s="12" t="s">
        <v>141</v>
      </c>
    </row>
    <row r="14">
      <c r="A14" s="11" t="s">
        <v>49</v>
      </c>
      <c r="B14" s="7">
        <v>5498569.0</v>
      </c>
      <c r="C14" s="9">
        <v>45917.0</v>
      </c>
      <c r="D14" s="7">
        <v>6.0</v>
      </c>
      <c r="E14" s="7" t="s">
        <v>53</v>
      </c>
      <c r="F14" s="7" t="s">
        <v>142</v>
      </c>
      <c r="G14" s="7" t="s">
        <v>55</v>
      </c>
      <c r="H14" s="12" t="s">
        <v>144</v>
      </c>
      <c r="I14" s="12" t="s">
        <v>145</v>
      </c>
    </row>
    <row r="15">
      <c r="A15" s="11" t="s">
        <v>49</v>
      </c>
      <c r="B15" s="7">
        <v>162102.0</v>
      </c>
      <c r="C15" s="9">
        <v>45872.0</v>
      </c>
      <c r="D15" s="7">
        <v>1.0</v>
      </c>
      <c r="E15" s="7" t="s">
        <v>53</v>
      </c>
      <c r="F15" s="7" t="s">
        <v>80</v>
      </c>
      <c r="G15" s="7" t="s">
        <v>55</v>
      </c>
      <c r="H15" s="12" t="s">
        <v>147</v>
      </c>
      <c r="I15" s="12" t="s">
        <v>148</v>
      </c>
    </row>
    <row r="16">
      <c r="A16" s="11" t="s">
        <v>49</v>
      </c>
      <c r="B16" s="7">
        <v>1639901.0</v>
      </c>
      <c r="C16" s="9">
        <v>45804.0</v>
      </c>
      <c r="D16" s="7">
        <v>0.0</v>
      </c>
      <c r="E16" s="7" t="s">
        <v>53</v>
      </c>
      <c r="F16" s="7" t="s">
        <v>150</v>
      </c>
      <c r="G16" s="7" t="s">
        <v>55</v>
      </c>
      <c r="H16" s="12" t="s">
        <v>151</v>
      </c>
      <c r="I16" s="12" t="s">
        <v>152</v>
      </c>
    </row>
    <row r="17">
      <c r="A17" s="11" t="s">
        <v>49</v>
      </c>
      <c r="B17" s="7">
        <v>1469055.0</v>
      </c>
      <c r="C17" s="9">
        <v>45789.0</v>
      </c>
      <c r="D17" s="7">
        <v>1.0</v>
      </c>
      <c r="E17" s="7" t="s">
        <v>53</v>
      </c>
      <c r="F17" s="7" t="s">
        <v>66</v>
      </c>
      <c r="G17" s="7" t="s">
        <v>55</v>
      </c>
      <c r="H17" s="12" t="s">
        <v>154</v>
      </c>
      <c r="I17" s="12" t="s">
        <v>155</v>
      </c>
    </row>
    <row r="18">
      <c r="A18" s="11" t="s">
        <v>49</v>
      </c>
      <c r="B18" s="7">
        <v>465554.0</v>
      </c>
      <c r="C18" s="9">
        <v>45692.0</v>
      </c>
      <c r="D18" s="7">
        <v>4.0</v>
      </c>
      <c r="E18" s="7" t="s">
        <v>53</v>
      </c>
      <c r="F18" s="7" t="s">
        <v>66</v>
      </c>
      <c r="G18" s="7" t="s">
        <v>55</v>
      </c>
      <c r="H18" s="12" t="s">
        <v>157</v>
      </c>
      <c r="I18" s="12" t="s">
        <v>159</v>
      </c>
    </row>
    <row r="19">
      <c r="A19" s="11" t="s">
        <v>49</v>
      </c>
      <c r="B19" s="7">
        <v>3100871.0</v>
      </c>
      <c r="C19" s="9">
        <v>45692.0</v>
      </c>
      <c r="D19" s="7">
        <v>1.0</v>
      </c>
      <c r="E19" s="7" t="s">
        <v>53</v>
      </c>
      <c r="F19" s="7" t="s">
        <v>83</v>
      </c>
      <c r="G19" s="7" t="s">
        <v>55</v>
      </c>
      <c r="H19" s="12" t="s">
        <v>160</v>
      </c>
      <c r="I19" s="12" t="s">
        <v>161</v>
      </c>
    </row>
    <row r="20">
      <c r="A20" s="11" t="s">
        <v>49</v>
      </c>
      <c r="B20" s="7">
        <v>6276279.0</v>
      </c>
      <c r="C20" s="9">
        <v>45663.0</v>
      </c>
      <c r="D20" s="7">
        <v>1.0</v>
      </c>
      <c r="E20" s="7" t="s">
        <v>82</v>
      </c>
      <c r="F20" s="7" t="s">
        <v>110</v>
      </c>
      <c r="G20" s="7" t="s">
        <v>55</v>
      </c>
      <c r="H20" s="12" t="s">
        <v>163</v>
      </c>
      <c r="I20" s="12" t="s">
        <v>164</v>
      </c>
    </row>
    <row r="21" ht="15.75" customHeight="1">
      <c r="A21" s="11" t="s">
        <v>49</v>
      </c>
      <c r="B21" s="7">
        <v>5377500.0</v>
      </c>
      <c r="C21" s="9">
        <v>45595.0</v>
      </c>
      <c r="D21" s="7">
        <v>2.0</v>
      </c>
      <c r="E21" s="7" t="s">
        <v>82</v>
      </c>
      <c r="F21" s="7" t="s">
        <v>73</v>
      </c>
      <c r="G21" s="7" t="s">
        <v>55</v>
      </c>
      <c r="H21" s="12" t="s">
        <v>166</v>
      </c>
      <c r="I21" s="12" t="s">
        <v>168</v>
      </c>
    </row>
    <row r="22" ht="15.75" customHeight="1">
      <c r="A22" s="11" t="s">
        <v>49</v>
      </c>
      <c r="B22" s="7">
        <v>5335351.0</v>
      </c>
      <c r="C22" s="9">
        <v>45559.0</v>
      </c>
      <c r="D22" s="7">
        <v>3.0</v>
      </c>
      <c r="E22" s="7" t="s">
        <v>53</v>
      </c>
      <c r="F22" s="7" t="s">
        <v>66</v>
      </c>
      <c r="G22" s="7" t="s">
        <v>55</v>
      </c>
      <c r="H22" s="12" t="s">
        <v>170</v>
      </c>
      <c r="I22" s="12" t="s">
        <v>171</v>
      </c>
    </row>
    <row r="23" ht="15.75" customHeight="1">
      <c r="A23" s="11" t="s">
        <v>49</v>
      </c>
      <c r="B23" s="7">
        <v>5574668.0</v>
      </c>
      <c r="C23" s="9">
        <v>45553.0</v>
      </c>
      <c r="D23" s="7">
        <v>1.0</v>
      </c>
      <c r="E23" s="7" t="s">
        <v>82</v>
      </c>
      <c r="F23" s="7" t="s">
        <v>138</v>
      </c>
      <c r="G23" s="7" t="s">
        <v>55</v>
      </c>
      <c r="H23" s="12" t="s">
        <v>175</v>
      </c>
      <c r="I23" s="12" t="s">
        <v>176</v>
      </c>
    </row>
    <row r="24" ht="15.75" customHeight="1">
      <c r="A24" s="11" t="s">
        <v>49</v>
      </c>
      <c r="B24" s="7">
        <v>5498569.0</v>
      </c>
      <c r="C24" s="9">
        <v>45552.0</v>
      </c>
      <c r="D24" s="7">
        <v>8.0</v>
      </c>
      <c r="E24" s="7" t="s">
        <v>53</v>
      </c>
      <c r="F24" s="7" t="s">
        <v>142</v>
      </c>
      <c r="G24" s="7" t="s">
        <v>55</v>
      </c>
      <c r="H24" s="12" t="s">
        <v>179</v>
      </c>
      <c r="I24" s="12" t="s">
        <v>180</v>
      </c>
    </row>
    <row r="25" ht="15.75" customHeight="1">
      <c r="A25" s="11" t="s">
        <v>49</v>
      </c>
      <c r="B25" s="7">
        <v>5138298.0</v>
      </c>
      <c r="C25" s="9">
        <v>45531.0</v>
      </c>
      <c r="D25" s="7">
        <v>5.0</v>
      </c>
      <c r="E25" s="7" t="s">
        <v>53</v>
      </c>
      <c r="F25" s="7" t="s">
        <v>142</v>
      </c>
      <c r="G25" s="7" t="s">
        <v>55</v>
      </c>
      <c r="H25" s="12" t="s">
        <v>181</v>
      </c>
      <c r="I25" s="12" t="s">
        <v>182</v>
      </c>
    </row>
    <row r="26" ht="15.75" customHeight="1">
      <c r="A26" s="11" t="s">
        <v>49</v>
      </c>
      <c r="B26" s="7">
        <v>2836220.0</v>
      </c>
      <c r="C26" s="9">
        <v>45474.0</v>
      </c>
      <c r="D26" s="7">
        <v>2.0</v>
      </c>
      <c r="E26" s="7" t="s">
        <v>82</v>
      </c>
      <c r="F26" s="7" t="s">
        <v>80</v>
      </c>
      <c r="G26" s="7" t="s">
        <v>55</v>
      </c>
      <c r="H26" s="12" t="s">
        <v>184</v>
      </c>
      <c r="I26" s="12" t="s">
        <v>185</v>
      </c>
    </row>
    <row r="27" ht="15.75" customHeight="1">
      <c r="A27" s="11" t="s">
        <v>49</v>
      </c>
      <c r="B27" s="7">
        <v>1303404.0</v>
      </c>
      <c r="C27" s="9">
        <v>45322.0</v>
      </c>
      <c r="D27" s="7">
        <v>8.0</v>
      </c>
      <c r="E27" s="7" t="s">
        <v>53</v>
      </c>
      <c r="F27" s="7" t="s">
        <v>110</v>
      </c>
      <c r="G27" s="7" t="s">
        <v>55</v>
      </c>
      <c r="H27" s="12" t="s">
        <v>187</v>
      </c>
      <c r="I27" s="12" t="s">
        <v>188</v>
      </c>
    </row>
    <row r="28" ht="15.75" customHeight="1">
      <c r="A28" s="11" t="s">
        <v>49</v>
      </c>
      <c r="B28" s="7">
        <v>3675661.0</v>
      </c>
      <c r="C28" s="9">
        <v>45320.0</v>
      </c>
      <c r="D28" s="7">
        <v>7.0</v>
      </c>
      <c r="E28" s="7" t="s">
        <v>53</v>
      </c>
      <c r="F28" s="7" t="s">
        <v>80</v>
      </c>
      <c r="G28" s="7" t="s">
        <v>55</v>
      </c>
      <c r="H28" s="12" t="s">
        <v>189</v>
      </c>
      <c r="I28" s="12" t="s">
        <v>190</v>
      </c>
    </row>
    <row r="29" ht="15.75" customHeight="1">
      <c r="A29" s="11" t="s">
        <v>49</v>
      </c>
      <c r="B29" s="7">
        <v>95826.0</v>
      </c>
      <c r="C29" s="9">
        <v>45312.0</v>
      </c>
      <c r="D29" s="7">
        <v>1.0</v>
      </c>
      <c r="E29" s="7" t="s">
        <v>82</v>
      </c>
      <c r="F29" s="7" t="s">
        <v>192</v>
      </c>
      <c r="G29" s="7" t="s">
        <v>55</v>
      </c>
      <c r="H29" s="12" t="s">
        <v>193</v>
      </c>
      <c r="I29" s="12" t="s">
        <v>195</v>
      </c>
    </row>
    <row r="30" ht="15.75" customHeight="1">
      <c r="A30" s="11" t="s">
        <v>49</v>
      </c>
      <c r="B30" s="7">
        <v>3007214.0</v>
      </c>
      <c r="C30" s="9">
        <v>45288.0</v>
      </c>
      <c r="D30" s="7">
        <v>1.0</v>
      </c>
      <c r="E30" s="7" t="s">
        <v>79</v>
      </c>
      <c r="F30" s="7" t="s">
        <v>110</v>
      </c>
      <c r="G30" s="7" t="s">
        <v>55</v>
      </c>
      <c r="H30" s="12" t="s">
        <v>199</v>
      </c>
      <c r="I30" s="12" t="s">
        <v>200</v>
      </c>
    </row>
    <row r="31" ht="15.75" customHeight="1">
      <c r="A31" s="11" t="s">
        <v>49</v>
      </c>
      <c r="B31" s="7">
        <v>3106944.0</v>
      </c>
      <c r="C31" s="9">
        <v>45278.0</v>
      </c>
      <c r="D31" s="7">
        <v>5.0</v>
      </c>
      <c r="E31" s="7" t="s">
        <v>53</v>
      </c>
      <c r="F31" s="7" t="s">
        <v>66</v>
      </c>
      <c r="G31" s="7" t="s">
        <v>55</v>
      </c>
      <c r="H31" s="12" t="s">
        <v>202</v>
      </c>
      <c r="I31" s="12" t="s">
        <v>203</v>
      </c>
    </row>
    <row r="32" ht="15.75" customHeight="1">
      <c r="A32" s="11" t="s">
        <v>49</v>
      </c>
      <c r="B32" s="7">
        <v>3096850.0</v>
      </c>
      <c r="C32" s="9">
        <v>45258.0</v>
      </c>
      <c r="D32" s="7">
        <v>1.0</v>
      </c>
      <c r="E32" s="7" t="s">
        <v>53</v>
      </c>
      <c r="F32" s="7" t="s">
        <v>83</v>
      </c>
      <c r="G32" s="7" t="s">
        <v>55</v>
      </c>
      <c r="H32" s="12" t="s">
        <v>204</v>
      </c>
      <c r="I32" s="12" t="s">
        <v>205</v>
      </c>
    </row>
    <row r="33" ht="15.75" customHeight="1">
      <c r="A33" s="11" t="s">
        <v>49</v>
      </c>
      <c r="B33" s="7">
        <v>1151840.0</v>
      </c>
      <c r="C33" s="9">
        <v>45198.0</v>
      </c>
      <c r="D33" s="7">
        <v>3.0</v>
      </c>
      <c r="E33" s="7" t="s">
        <v>53</v>
      </c>
      <c r="F33" s="7" t="s">
        <v>83</v>
      </c>
      <c r="G33" s="7" t="s">
        <v>55</v>
      </c>
      <c r="H33" s="12" t="s">
        <v>207</v>
      </c>
      <c r="I33" s="12" t="s">
        <v>208</v>
      </c>
    </row>
    <row r="34" ht="15.75" customHeight="1">
      <c r="A34" s="11" t="s">
        <v>49</v>
      </c>
      <c r="B34" s="7">
        <v>2465271.0</v>
      </c>
      <c r="C34" s="9">
        <v>45154.0</v>
      </c>
      <c r="D34" s="7">
        <v>5.0</v>
      </c>
      <c r="E34" s="7" t="s">
        <v>82</v>
      </c>
      <c r="F34" s="7" t="s">
        <v>209</v>
      </c>
      <c r="G34" s="7" t="s">
        <v>55</v>
      </c>
      <c r="H34" s="12" t="s">
        <v>210</v>
      </c>
      <c r="I34" s="12" t="s">
        <v>211</v>
      </c>
    </row>
    <row r="35" ht="15.75" customHeight="1">
      <c r="A35" s="11" t="s">
        <v>49</v>
      </c>
      <c r="B35" s="7">
        <v>1259915.0</v>
      </c>
      <c r="C35" s="9">
        <v>45099.0</v>
      </c>
      <c r="D35" s="7">
        <v>9.0</v>
      </c>
      <c r="E35" s="7" t="s">
        <v>79</v>
      </c>
      <c r="F35" s="7" t="s">
        <v>142</v>
      </c>
      <c r="G35" s="7" t="s">
        <v>55</v>
      </c>
      <c r="H35" s="12" t="s">
        <v>216</v>
      </c>
      <c r="I35" s="12" t="s">
        <v>217</v>
      </c>
    </row>
    <row r="36" ht="15.75" customHeight="1">
      <c r="A36" s="11" t="s">
        <v>49</v>
      </c>
      <c r="B36" s="7">
        <v>1164432.0</v>
      </c>
      <c r="C36" s="9">
        <v>45099.0</v>
      </c>
      <c r="D36" s="7">
        <v>1.0</v>
      </c>
      <c r="E36" s="7" t="s">
        <v>82</v>
      </c>
      <c r="F36" s="7" t="s">
        <v>80</v>
      </c>
      <c r="G36" s="7" t="s">
        <v>55</v>
      </c>
      <c r="H36" s="12" t="s">
        <v>219</v>
      </c>
      <c r="I36" s="12" t="s">
        <v>220</v>
      </c>
    </row>
    <row r="37" ht="15.75" customHeight="1">
      <c r="A37" s="11" t="s">
        <v>49</v>
      </c>
      <c r="B37" s="7">
        <v>1846459.0</v>
      </c>
      <c r="C37" s="9">
        <v>45041.0</v>
      </c>
      <c r="D37" s="7">
        <v>3.0</v>
      </c>
      <c r="E37" s="7" t="s">
        <v>53</v>
      </c>
      <c r="F37" s="7" t="s">
        <v>66</v>
      </c>
      <c r="G37" s="7" t="s">
        <v>55</v>
      </c>
      <c r="H37" s="12" t="s">
        <v>221</v>
      </c>
      <c r="I37" s="12" t="s">
        <v>223</v>
      </c>
    </row>
    <row r="38" ht="15.75" customHeight="1">
      <c r="A38" s="11" t="s">
        <v>49</v>
      </c>
      <c r="B38" s="7">
        <v>749178.0</v>
      </c>
      <c r="C38" s="9">
        <v>44726.0</v>
      </c>
      <c r="D38" s="7">
        <v>1.0</v>
      </c>
      <c r="E38" s="7" t="s">
        <v>53</v>
      </c>
      <c r="F38" s="7" t="s">
        <v>66</v>
      </c>
      <c r="G38" s="7" t="s">
        <v>55</v>
      </c>
      <c r="H38" s="12" t="s">
        <v>224</v>
      </c>
      <c r="I38" s="12" t="s">
        <v>226</v>
      </c>
    </row>
    <row r="39" ht="15.75" customHeight="1">
      <c r="A39" s="11" t="s">
        <v>49</v>
      </c>
      <c r="B39" s="7">
        <v>253254.0</v>
      </c>
      <c r="C39" s="9">
        <v>44641.0</v>
      </c>
      <c r="D39" s="7">
        <v>4.0</v>
      </c>
      <c r="E39" s="7" t="s">
        <v>82</v>
      </c>
      <c r="F39" s="7" t="s">
        <v>80</v>
      </c>
      <c r="G39" s="7" t="s">
        <v>55</v>
      </c>
      <c r="H39" s="12" t="s">
        <v>231</v>
      </c>
      <c r="I39" s="12" t="s">
        <v>232</v>
      </c>
    </row>
    <row r="40" ht="15.75" customHeight="1">
      <c r="A40" s="11" t="s">
        <v>49</v>
      </c>
      <c r="B40" s="7">
        <v>603353.0</v>
      </c>
      <c r="C40" s="9">
        <v>44623.0</v>
      </c>
      <c r="D40" s="7">
        <v>1.0</v>
      </c>
      <c r="E40" s="7" t="s">
        <v>53</v>
      </c>
      <c r="F40" s="7" t="s">
        <v>66</v>
      </c>
      <c r="G40" s="7" t="s">
        <v>55</v>
      </c>
      <c r="H40" s="12" t="s">
        <v>233</v>
      </c>
      <c r="I40" s="12" t="s">
        <v>235</v>
      </c>
    </row>
    <row r="41" ht="15.75" customHeight="1">
      <c r="A41" s="11" t="s">
        <v>49</v>
      </c>
      <c r="B41" s="7">
        <v>503127.0</v>
      </c>
      <c r="C41" s="9">
        <v>44614.0</v>
      </c>
      <c r="D41" s="7">
        <v>2.0</v>
      </c>
      <c r="E41" s="7" t="s">
        <v>53</v>
      </c>
      <c r="F41" s="7" t="s">
        <v>66</v>
      </c>
      <c r="G41" s="7" t="s">
        <v>55</v>
      </c>
      <c r="H41" s="12" t="s">
        <v>236</v>
      </c>
      <c r="I41" s="12" t="s">
        <v>237</v>
      </c>
    </row>
    <row r="42" ht="15.75" customHeight="1">
      <c r="A42" s="11" t="s">
        <v>49</v>
      </c>
      <c r="B42" s="7">
        <v>194966.0</v>
      </c>
      <c r="C42" s="9">
        <v>44578.0</v>
      </c>
      <c r="D42" s="7">
        <v>1.0</v>
      </c>
      <c r="E42" s="7" t="s">
        <v>53</v>
      </c>
      <c r="F42" s="7" t="s">
        <v>66</v>
      </c>
      <c r="G42" s="7" t="s">
        <v>55</v>
      </c>
      <c r="H42" s="12" t="s">
        <v>240</v>
      </c>
      <c r="I42" s="12" t="s">
        <v>241</v>
      </c>
    </row>
    <row r="43" ht="15.75" customHeight="1">
      <c r="A43" s="11" t="s">
        <v>49</v>
      </c>
      <c r="B43" s="7">
        <v>525130.0</v>
      </c>
      <c r="C43" s="9">
        <v>44573.0</v>
      </c>
      <c r="D43" s="7">
        <v>8.0</v>
      </c>
      <c r="E43" s="7" t="s">
        <v>79</v>
      </c>
      <c r="F43" s="7" t="s">
        <v>80</v>
      </c>
      <c r="G43" s="7" t="s">
        <v>55</v>
      </c>
      <c r="H43" s="12" t="s">
        <v>244</v>
      </c>
      <c r="I43" s="12" t="s">
        <v>245</v>
      </c>
    </row>
    <row r="44" ht="15.75" customHeight="1">
      <c r="A44" s="11" t="s">
        <v>49</v>
      </c>
      <c r="B44" s="7">
        <v>168879.0</v>
      </c>
      <c r="C44" s="9">
        <v>44545.0</v>
      </c>
      <c r="D44" s="7">
        <v>8.0</v>
      </c>
      <c r="E44" s="7" t="s">
        <v>82</v>
      </c>
      <c r="F44" s="7" t="s">
        <v>124</v>
      </c>
      <c r="G44" s="7" t="s">
        <v>55</v>
      </c>
      <c r="H44" s="12" t="s">
        <v>249</v>
      </c>
      <c r="I44" s="12" t="s">
        <v>250</v>
      </c>
    </row>
    <row r="45" ht="15.75" customHeight="1">
      <c r="A45" s="11" t="s">
        <v>49</v>
      </c>
      <c r="B45" s="7">
        <v>255314.0</v>
      </c>
      <c r="C45" s="9">
        <v>44358.0</v>
      </c>
      <c r="D45" s="7">
        <v>7.0</v>
      </c>
      <c r="E45" s="7" t="s">
        <v>53</v>
      </c>
      <c r="F45" s="7" t="s">
        <v>66</v>
      </c>
      <c r="G45" s="7" t="s">
        <v>55</v>
      </c>
      <c r="H45" s="12" t="s">
        <v>252</v>
      </c>
      <c r="I45" s="12" t="s">
        <v>253</v>
      </c>
    </row>
    <row r="46" ht="15.75" customHeight="1">
      <c r="A46" s="11" t="s">
        <v>49</v>
      </c>
      <c r="B46" s="7">
        <v>207993.0</v>
      </c>
      <c r="C46" s="9">
        <v>44308.0</v>
      </c>
      <c r="D46" s="7">
        <v>1.0</v>
      </c>
      <c r="E46" s="7" t="s">
        <v>82</v>
      </c>
      <c r="F46" s="7" t="s">
        <v>192</v>
      </c>
      <c r="G46" s="7" t="s">
        <v>55</v>
      </c>
      <c r="H46" s="12" t="s">
        <v>254</v>
      </c>
      <c r="I46" s="12" t="s">
        <v>255</v>
      </c>
    </row>
    <row r="47" ht="15.75" customHeight="1">
      <c r="A47" s="7" t="s">
        <v>256</v>
      </c>
      <c r="B47" s="7">
        <v>1.0280168E7</v>
      </c>
      <c r="C47" s="9">
        <v>46244.0</v>
      </c>
      <c r="D47" s="7">
        <v>8.0</v>
      </c>
      <c r="E47" s="7" t="s">
        <v>100</v>
      </c>
      <c r="F47" s="7" t="s">
        <v>69</v>
      </c>
      <c r="G47" s="7" t="s">
        <v>55</v>
      </c>
      <c r="H47" s="12" t="s">
        <v>258</v>
      </c>
      <c r="I47" s="12" t="s">
        <v>259</v>
      </c>
    </row>
    <row r="48" ht="15.75" customHeight="1">
      <c r="A48" s="7" t="s">
        <v>256</v>
      </c>
      <c r="B48" s="7">
        <v>1.0280192E7</v>
      </c>
      <c r="C48" s="9">
        <v>46171.0</v>
      </c>
      <c r="D48" s="7">
        <v>1.0</v>
      </c>
      <c r="E48" s="7" t="s">
        <v>76</v>
      </c>
      <c r="F48" s="7" t="s">
        <v>69</v>
      </c>
      <c r="G48" s="7" t="s">
        <v>55</v>
      </c>
      <c r="H48" s="12" t="s">
        <v>261</v>
      </c>
      <c r="I48" s="12" t="s">
        <v>262</v>
      </c>
    </row>
    <row r="49" ht="15.75" customHeight="1">
      <c r="A49" s="7" t="s">
        <v>256</v>
      </c>
      <c r="B49" s="7">
        <v>503127.0</v>
      </c>
      <c r="C49" s="9">
        <v>46139.0</v>
      </c>
      <c r="D49" s="7">
        <v>4.0</v>
      </c>
      <c r="E49" s="7" t="s">
        <v>53</v>
      </c>
      <c r="F49" s="7" t="s">
        <v>66</v>
      </c>
      <c r="G49" s="7" t="s">
        <v>55</v>
      </c>
      <c r="H49" s="12" t="s">
        <v>263</v>
      </c>
      <c r="I49" s="12" t="s">
        <v>264</v>
      </c>
    </row>
    <row r="50" ht="15.75" customHeight="1">
      <c r="A50" s="7" t="s">
        <v>256</v>
      </c>
      <c r="B50" s="7">
        <v>7979778.0</v>
      </c>
      <c r="C50" s="9">
        <v>45996.0</v>
      </c>
      <c r="D50" s="7">
        <v>6.0</v>
      </c>
      <c r="E50" s="7" t="s">
        <v>53</v>
      </c>
      <c r="F50" s="7" t="s">
        <v>69</v>
      </c>
      <c r="G50" s="7" t="s">
        <v>55</v>
      </c>
      <c r="H50" s="12" t="s">
        <v>265</v>
      </c>
      <c r="I50" s="12" t="s">
        <v>266</v>
      </c>
    </row>
    <row r="51" ht="15.75" customHeight="1">
      <c r="A51" s="7" t="s">
        <v>256</v>
      </c>
      <c r="B51" s="7">
        <v>3104832.0</v>
      </c>
      <c r="C51" s="9">
        <v>45988.0</v>
      </c>
      <c r="D51" s="7">
        <v>3.0</v>
      </c>
      <c r="E51" s="7" t="s">
        <v>82</v>
      </c>
      <c r="F51" s="7" t="s">
        <v>83</v>
      </c>
      <c r="G51" s="7" t="s">
        <v>55</v>
      </c>
      <c r="H51" s="12" t="s">
        <v>269</v>
      </c>
      <c r="I51" s="12" t="s">
        <v>270</v>
      </c>
    </row>
    <row r="52" ht="15.75" customHeight="1">
      <c r="A52" s="7" t="s">
        <v>256</v>
      </c>
      <c r="B52" s="7">
        <v>6712333.0</v>
      </c>
      <c r="C52" s="9">
        <v>45986.0</v>
      </c>
      <c r="D52" s="7">
        <v>6.0</v>
      </c>
      <c r="E52" s="7" t="s">
        <v>82</v>
      </c>
      <c r="F52" s="7" t="s">
        <v>272</v>
      </c>
      <c r="G52" s="7" t="s">
        <v>55</v>
      </c>
      <c r="H52" s="12" t="s">
        <v>273</v>
      </c>
      <c r="I52" s="12" t="s">
        <v>274</v>
      </c>
    </row>
    <row r="53" ht="15.75" customHeight="1">
      <c r="A53" s="7" t="s">
        <v>256</v>
      </c>
      <c r="B53" s="7">
        <v>6703948.0</v>
      </c>
      <c r="C53" s="9">
        <v>45952.0</v>
      </c>
      <c r="D53" s="7">
        <v>4.0</v>
      </c>
      <c r="E53" s="7" t="s">
        <v>53</v>
      </c>
      <c r="F53" s="7" t="s">
        <v>119</v>
      </c>
      <c r="G53" s="7" t="s">
        <v>55</v>
      </c>
      <c r="H53" s="12" t="s">
        <v>275</v>
      </c>
      <c r="I53" s="12" t="s">
        <v>276</v>
      </c>
    </row>
    <row r="54" ht="15.75" customHeight="1">
      <c r="A54" s="7" t="s">
        <v>256</v>
      </c>
      <c r="B54" s="7">
        <v>3028605.0</v>
      </c>
      <c r="C54" s="9">
        <v>45866.0</v>
      </c>
      <c r="D54" s="7">
        <v>4.0</v>
      </c>
      <c r="E54" s="7" t="s">
        <v>53</v>
      </c>
      <c r="F54" s="7" t="s">
        <v>66</v>
      </c>
      <c r="G54" s="7" t="s">
        <v>55</v>
      </c>
      <c r="H54" s="12" t="s">
        <v>277</v>
      </c>
      <c r="I54" s="12" t="s">
        <v>278</v>
      </c>
    </row>
    <row r="55" ht="15.75" customHeight="1">
      <c r="A55" s="7" t="s">
        <v>256</v>
      </c>
      <c r="B55" s="7">
        <v>6010393.0</v>
      </c>
      <c r="C55" s="9">
        <v>45866.0</v>
      </c>
      <c r="D55" s="7">
        <v>1.0</v>
      </c>
      <c r="E55" s="7" t="s">
        <v>53</v>
      </c>
      <c r="F55" s="7" t="s">
        <v>142</v>
      </c>
      <c r="G55" s="7" t="s">
        <v>55</v>
      </c>
      <c r="H55" s="12" t="s">
        <v>281</v>
      </c>
      <c r="I55" s="12" t="s">
        <v>282</v>
      </c>
    </row>
    <row r="56" ht="15.75" customHeight="1">
      <c r="A56" s="7" t="s">
        <v>256</v>
      </c>
      <c r="B56" s="7">
        <v>3486382.0</v>
      </c>
      <c r="C56" s="9">
        <v>45863.0</v>
      </c>
      <c r="D56" s="7">
        <v>6.0</v>
      </c>
      <c r="E56" s="7" t="s">
        <v>53</v>
      </c>
      <c r="F56" s="7" t="s">
        <v>66</v>
      </c>
      <c r="G56" s="7" t="s">
        <v>55</v>
      </c>
      <c r="H56" s="12" t="s">
        <v>285</v>
      </c>
      <c r="I56" s="12" t="s">
        <v>286</v>
      </c>
    </row>
    <row r="57" ht="15.75" customHeight="1">
      <c r="A57" s="7" t="s">
        <v>256</v>
      </c>
      <c r="B57" s="7">
        <v>4122872.0</v>
      </c>
      <c r="C57" s="9">
        <v>45820.0</v>
      </c>
      <c r="D57" s="7">
        <v>6.0</v>
      </c>
      <c r="E57" s="7" t="s">
        <v>79</v>
      </c>
      <c r="F57" s="7" t="s">
        <v>80</v>
      </c>
      <c r="G57" s="7" t="s">
        <v>55</v>
      </c>
      <c r="H57" s="12" t="s">
        <v>287</v>
      </c>
      <c r="I57" s="12" t="s">
        <v>288</v>
      </c>
    </row>
    <row r="58" ht="15.75" customHeight="1">
      <c r="A58" s="7" t="s">
        <v>256</v>
      </c>
      <c r="B58" s="7">
        <v>3156171.0</v>
      </c>
      <c r="C58" s="9">
        <v>45812.0</v>
      </c>
      <c r="D58" s="7">
        <v>6.0</v>
      </c>
      <c r="E58" s="7" t="s">
        <v>79</v>
      </c>
      <c r="F58" s="7" t="s">
        <v>80</v>
      </c>
      <c r="G58" s="7" t="s">
        <v>55</v>
      </c>
      <c r="H58" s="12" t="s">
        <v>296</v>
      </c>
      <c r="I58" s="12" t="s">
        <v>298</v>
      </c>
    </row>
    <row r="59" ht="15.75" customHeight="1">
      <c r="A59" s="7" t="s">
        <v>256</v>
      </c>
      <c r="B59" s="7">
        <v>4460025.0</v>
      </c>
      <c r="C59" s="9">
        <v>45680.0</v>
      </c>
      <c r="D59" s="7">
        <v>1.0</v>
      </c>
      <c r="E59" s="7" t="s">
        <v>53</v>
      </c>
      <c r="F59" s="7" t="s">
        <v>66</v>
      </c>
      <c r="G59" s="7" t="s">
        <v>55</v>
      </c>
      <c r="H59" s="12" t="s">
        <v>299</v>
      </c>
      <c r="I59" s="12" t="s">
        <v>300</v>
      </c>
    </row>
    <row r="60" ht="15.75" customHeight="1">
      <c r="A60" s="7" t="s">
        <v>256</v>
      </c>
      <c r="B60" s="7">
        <v>5241438.0</v>
      </c>
      <c r="C60" s="9">
        <v>45672.0</v>
      </c>
      <c r="D60" s="7">
        <v>7.0</v>
      </c>
      <c r="E60" s="7" t="s">
        <v>53</v>
      </c>
      <c r="F60" s="7" t="s">
        <v>66</v>
      </c>
      <c r="G60" s="7" t="s">
        <v>55</v>
      </c>
      <c r="H60" s="12" t="s">
        <v>301</v>
      </c>
      <c r="I60" s="12" t="s">
        <v>302</v>
      </c>
    </row>
    <row r="61" ht="15.75" customHeight="1">
      <c r="A61" s="7" t="s">
        <v>256</v>
      </c>
      <c r="B61" s="7">
        <v>2225335.0</v>
      </c>
      <c r="C61" s="9">
        <v>45650.0</v>
      </c>
      <c r="D61" s="7">
        <v>7.0</v>
      </c>
      <c r="E61" s="7" t="s">
        <v>82</v>
      </c>
      <c r="F61" s="7" t="s">
        <v>83</v>
      </c>
      <c r="G61" s="7" t="s">
        <v>55</v>
      </c>
      <c r="H61" s="12" t="s">
        <v>303</v>
      </c>
      <c r="I61" s="12" t="s">
        <v>306</v>
      </c>
    </row>
    <row r="62" ht="15.75" customHeight="1">
      <c r="A62" s="7" t="s">
        <v>256</v>
      </c>
      <c r="B62" s="7">
        <v>5498569.0</v>
      </c>
      <c r="C62" s="9">
        <v>45643.0</v>
      </c>
      <c r="D62" s="7">
        <v>8.0</v>
      </c>
      <c r="E62" s="7" t="s">
        <v>53</v>
      </c>
      <c r="F62" s="7" t="s">
        <v>142</v>
      </c>
      <c r="G62" s="7" t="s">
        <v>55</v>
      </c>
      <c r="H62" s="12" t="s">
        <v>309</v>
      </c>
      <c r="I62" s="12" t="s">
        <v>311</v>
      </c>
    </row>
    <row r="63" ht="15.75" customHeight="1">
      <c r="A63" s="7" t="s">
        <v>256</v>
      </c>
      <c r="B63" s="7">
        <v>3619412.0</v>
      </c>
      <c r="C63" s="9">
        <v>45502.0</v>
      </c>
      <c r="D63" s="7">
        <v>6.0</v>
      </c>
      <c r="E63" s="7" t="s">
        <v>79</v>
      </c>
      <c r="F63" s="7" t="s">
        <v>80</v>
      </c>
      <c r="G63" s="7" t="s">
        <v>55</v>
      </c>
      <c r="H63" s="12" t="s">
        <v>313</v>
      </c>
      <c r="I63" s="12" t="s">
        <v>314</v>
      </c>
    </row>
    <row r="64" ht="15.75" customHeight="1">
      <c r="A64" s="7" t="s">
        <v>256</v>
      </c>
      <c r="B64" s="7">
        <v>109026.0</v>
      </c>
      <c r="C64" s="9">
        <v>45453.0</v>
      </c>
      <c r="D64" s="7">
        <v>2.0</v>
      </c>
      <c r="E64" s="7" t="s">
        <v>82</v>
      </c>
      <c r="F64" s="7" t="s">
        <v>124</v>
      </c>
      <c r="G64" s="7" t="s">
        <v>55</v>
      </c>
      <c r="H64" s="12" t="s">
        <v>316</v>
      </c>
      <c r="I64" s="12" t="s">
        <v>317</v>
      </c>
    </row>
    <row r="65" ht="15.75" customHeight="1">
      <c r="A65" s="7" t="s">
        <v>256</v>
      </c>
      <c r="B65" s="7">
        <v>3136654.0</v>
      </c>
      <c r="C65" s="9">
        <v>45419.0</v>
      </c>
      <c r="D65" s="7">
        <v>1.0</v>
      </c>
      <c r="E65" s="7" t="s">
        <v>53</v>
      </c>
      <c r="F65" s="7" t="s">
        <v>80</v>
      </c>
      <c r="G65" s="7" t="s">
        <v>55</v>
      </c>
      <c r="H65" s="12" t="s">
        <v>319</v>
      </c>
      <c r="I65" s="12" t="s">
        <v>320</v>
      </c>
    </row>
    <row r="66" ht="15.75" customHeight="1">
      <c r="A66" s="7" t="s">
        <v>256</v>
      </c>
      <c r="B66" s="7">
        <v>1722574.0</v>
      </c>
      <c r="C66" s="9">
        <v>45413.0</v>
      </c>
      <c r="D66" s="7">
        <v>8.0</v>
      </c>
      <c r="E66" s="7" t="s">
        <v>53</v>
      </c>
      <c r="F66" s="7" t="s">
        <v>66</v>
      </c>
      <c r="G66" s="7" t="s">
        <v>55</v>
      </c>
      <c r="H66" s="12" t="s">
        <v>327</v>
      </c>
      <c r="I66" s="12" t="s">
        <v>328</v>
      </c>
    </row>
    <row r="67" ht="15.75" customHeight="1">
      <c r="A67" s="7" t="s">
        <v>256</v>
      </c>
      <c r="B67" s="7">
        <v>480160.0</v>
      </c>
      <c r="C67" s="9">
        <v>45404.0</v>
      </c>
      <c r="D67" s="7">
        <v>10.0</v>
      </c>
      <c r="E67" s="7" t="s">
        <v>53</v>
      </c>
      <c r="F67" s="7" t="s">
        <v>66</v>
      </c>
      <c r="G67" s="7" t="s">
        <v>55</v>
      </c>
      <c r="H67" s="12" t="s">
        <v>330</v>
      </c>
      <c r="I67" s="12" t="s">
        <v>331</v>
      </c>
    </row>
    <row r="68" ht="15.75" customHeight="1">
      <c r="A68" s="7" t="s">
        <v>256</v>
      </c>
      <c r="B68" s="7">
        <v>1734681.0</v>
      </c>
      <c r="C68" s="9">
        <v>45196.0</v>
      </c>
      <c r="D68" s="7">
        <v>6.0</v>
      </c>
      <c r="E68" s="7" t="s">
        <v>53</v>
      </c>
      <c r="F68" s="7" t="s">
        <v>66</v>
      </c>
      <c r="G68" s="7" t="s">
        <v>55</v>
      </c>
      <c r="H68" s="12" t="s">
        <v>333</v>
      </c>
      <c r="I68" s="12" t="s">
        <v>334</v>
      </c>
    </row>
    <row r="69" ht="15.75" customHeight="1">
      <c r="A69" s="7" t="s">
        <v>256</v>
      </c>
      <c r="B69" s="7">
        <v>252944.0</v>
      </c>
      <c r="C69" s="9">
        <v>45159.0</v>
      </c>
      <c r="D69" s="7">
        <v>6.0</v>
      </c>
      <c r="E69" s="7" t="s">
        <v>53</v>
      </c>
      <c r="F69" s="7" t="s">
        <v>66</v>
      </c>
      <c r="G69" s="7" t="s">
        <v>55</v>
      </c>
      <c r="H69" s="12" t="s">
        <v>337</v>
      </c>
      <c r="I69" s="12" t="s">
        <v>339</v>
      </c>
    </row>
    <row r="70" ht="15.75" customHeight="1">
      <c r="A70" s="7" t="s">
        <v>256</v>
      </c>
      <c r="B70" s="7">
        <v>150712.0</v>
      </c>
      <c r="C70" s="9">
        <v>45148.0</v>
      </c>
      <c r="D70" s="7">
        <v>7.0</v>
      </c>
      <c r="E70" s="7" t="s">
        <v>79</v>
      </c>
      <c r="F70" s="7" t="s">
        <v>124</v>
      </c>
      <c r="G70" s="7" t="s">
        <v>55</v>
      </c>
      <c r="H70" s="12" t="s">
        <v>342</v>
      </c>
      <c r="I70" s="12" t="s">
        <v>343</v>
      </c>
    </row>
    <row r="71" ht="15.75" customHeight="1">
      <c r="A71" s="7" t="s">
        <v>256</v>
      </c>
      <c r="B71" s="7">
        <v>859399.0</v>
      </c>
      <c r="C71" s="9">
        <v>45114.0</v>
      </c>
      <c r="D71" s="7">
        <v>5.0</v>
      </c>
      <c r="E71" s="7" t="s">
        <v>79</v>
      </c>
      <c r="F71" s="7" t="s">
        <v>80</v>
      </c>
      <c r="G71" s="7" t="s">
        <v>55</v>
      </c>
      <c r="H71" s="12" t="s">
        <v>345</v>
      </c>
      <c r="I71" s="12" t="s">
        <v>346</v>
      </c>
    </row>
    <row r="72" ht="15.75" customHeight="1">
      <c r="A72" s="7" t="s">
        <v>256</v>
      </c>
      <c r="B72" s="7">
        <v>1370635.0</v>
      </c>
      <c r="C72" s="9">
        <v>45027.0</v>
      </c>
      <c r="D72" s="7">
        <v>5.0</v>
      </c>
      <c r="E72" s="7" t="s">
        <v>79</v>
      </c>
      <c r="F72" s="7" t="s">
        <v>142</v>
      </c>
      <c r="G72" s="7" t="s">
        <v>55</v>
      </c>
      <c r="H72" s="12" t="s">
        <v>349</v>
      </c>
      <c r="I72" s="12" t="s">
        <v>350</v>
      </c>
    </row>
    <row r="73" ht="15.75" customHeight="1">
      <c r="A73" s="7" t="s">
        <v>256</v>
      </c>
      <c r="B73" s="7">
        <v>1809400.0</v>
      </c>
      <c r="C73" s="9">
        <v>45027.0</v>
      </c>
      <c r="D73" s="7">
        <v>1.0</v>
      </c>
      <c r="E73" s="7" t="s">
        <v>53</v>
      </c>
      <c r="F73" s="7" t="s">
        <v>110</v>
      </c>
      <c r="G73" s="7" t="s">
        <v>55</v>
      </c>
      <c r="H73" s="12" t="s">
        <v>351</v>
      </c>
      <c r="I73" s="12" t="s">
        <v>352</v>
      </c>
    </row>
    <row r="74" ht="15.75" customHeight="1">
      <c r="A74" s="7" t="s">
        <v>256</v>
      </c>
      <c r="B74" s="7">
        <v>2431737.0</v>
      </c>
      <c r="C74" s="9">
        <v>45015.0</v>
      </c>
      <c r="D74" s="7">
        <v>1.0</v>
      </c>
      <c r="E74" s="7" t="s">
        <v>79</v>
      </c>
      <c r="F74" s="7" t="s">
        <v>142</v>
      </c>
      <c r="G74" s="7" t="s">
        <v>55</v>
      </c>
      <c r="H74" s="12" t="s">
        <v>355</v>
      </c>
      <c r="I74" s="12" t="s">
        <v>356</v>
      </c>
    </row>
    <row r="75" ht="15.75" customHeight="1">
      <c r="A75" s="7" t="s">
        <v>256</v>
      </c>
      <c r="B75" s="7">
        <v>519789.0</v>
      </c>
      <c r="C75" s="9">
        <v>44923.0</v>
      </c>
      <c r="D75" s="7">
        <v>5.0</v>
      </c>
      <c r="E75" s="7" t="s">
        <v>53</v>
      </c>
      <c r="F75" s="7" t="s">
        <v>66</v>
      </c>
      <c r="G75" s="7" t="s">
        <v>55</v>
      </c>
      <c r="H75" s="12" t="s">
        <v>358</v>
      </c>
      <c r="I75" s="12" t="s">
        <v>360</v>
      </c>
    </row>
    <row r="76" ht="15.75" customHeight="1">
      <c r="A76" s="7" t="s">
        <v>256</v>
      </c>
      <c r="B76" s="7">
        <v>1084353.0</v>
      </c>
      <c r="C76" s="9">
        <v>44858.0</v>
      </c>
      <c r="D76" s="7">
        <v>3.0</v>
      </c>
      <c r="E76" s="7" t="s">
        <v>53</v>
      </c>
      <c r="F76" s="7" t="s">
        <v>66</v>
      </c>
      <c r="G76" s="7" t="s">
        <v>55</v>
      </c>
      <c r="H76" s="12" t="s">
        <v>363</v>
      </c>
      <c r="I76" s="12" t="s">
        <v>364</v>
      </c>
    </row>
    <row r="77" ht="15.75" customHeight="1">
      <c r="A77" s="7" t="s">
        <v>256</v>
      </c>
      <c r="B77" s="7">
        <v>1406695.0</v>
      </c>
      <c r="C77" s="9">
        <v>44800.0</v>
      </c>
      <c r="D77" s="7">
        <v>9.0</v>
      </c>
      <c r="E77" s="7" t="s">
        <v>53</v>
      </c>
      <c r="F77" s="7" t="s">
        <v>357</v>
      </c>
      <c r="G77" s="7" t="s">
        <v>55</v>
      </c>
      <c r="H77" s="12" t="s">
        <v>366</v>
      </c>
      <c r="I77" s="12" t="s">
        <v>367</v>
      </c>
    </row>
    <row r="78" ht="15.75" customHeight="1">
      <c r="A78" s="7" t="s">
        <v>256</v>
      </c>
      <c r="B78" s="7">
        <v>515601.0</v>
      </c>
      <c r="C78" s="9">
        <v>44651.0</v>
      </c>
      <c r="D78" s="7">
        <v>8.0</v>
      </c>
      <c r="E78" s="7" t="s">
        <v>53</v>
      </c>
      <c r="F78" s="7" t="s">
        <v>66</v>
      </c>
      <c r="G78" s="7" t="s">
        <v>55</v>
      </c>
      <c r="H78" s="12" t="s">
        <v>368</v>
      </c>
      <c r="I78" s="12" t="s">
        <v>370</v>
      </c>
    </row>
    <row r="79" ht="15.75" customHeight="1">
      <c r="A79" s="7" t="s">
        <v>256</v>
      </c>
      <c r="B79" s="7">
        <v>680816.0</v>
      </c>
      <c r="C79" s="9">
        <v>44651.0</v>
      </c>
      <c r="D79" s="7">
        <v>1.0</v>
      </c>
      <c r="E79" s="7" t="s">
        <v>82</v>
      </c>
      <c r="F79" s="7" t="s">
        <v>110</v>
      </c>
      <c r="G79" s="7" t="s">
        <v>55</v>
      </c>
      <c r="H79" s="12" t="s">
        <v>371</v>
      </c>
      <c r="I79" s="12" t="s">
        <v>372</v>
      </c>
    </row>
    <row r="80" ht="15.75" customHeight="1">
      <c r="A80" s="7" t="s">
        <v>256</v>
      </c>
      <c r="B80" s="7">
        <v>144082.0</v>
      </c>
      <c r="C80" s="9">
        <v>44640.0</v>
      </c>
      <c r="D80" s="7">
        <v>8.0</v>
      </c>
      <c r="E80" s="7" t="s">
        <v>79</v>
      </c>
      <c r="F80" s="7" t="s">
        <v>124</v>
      </c>
      <c r="G80" s="7" t="s">
        <v>55</v>
      </c>
      <c r="H80" s="12" t="s">
        <v>374</v>
      </c>
      <c r="I80" s="12" t="s">
        <v>375</v>
      </c>
    </row>
    <row r="81" ht="15.75" customHeight="1">
      <c r="A81" s="7" t="s">
        <v>256</v>
      </c>
      <c r="B81" s="7">
        <v>238937.0</v>
      </c>
      <c r="C81" s="9">
        <v>44533.0</v>
      </c>
      <c r="D81" s="7">
        <v>6.0</v>
      </c>
      <c r="E81" s="7" t="s">
        <v>53</v>
      </c>
      <c r="F81" s="7" t="s">
        <v>66</v>
      </c>
      <c r="G81" s="7" t="s">
        <v>55</v>
      </c>
      <c r="H81" s="12" t="s">
        <v>376</v>
      </c>
      <c r="I81" s="12" t="s">
        <v>377</v>
      </c>
    </row>
    <row r="82" ht="15.75" customHeight="1">
      <c r="A82" s="7" t="s">
        <v>256</v>
      </c>
      <c r="B82" s="7">
        <v>189697.0</v>
      </c>
      <c r="C82" s="9">
        <v>44359.0</v>
      </c>
      <c r="D82" s="7">
        <v>6.0</v>
      </c>
      <c r="E82" s="7" t="s">
        <v>82</v>
      </c>
      <c r="F82" s="7" t="s">
        <v>192</v>
      </c>
      <c r="G82" s="7" t="s">
        <v>55</v>
      </c>
      <c r="H82" s="12" t="s">
        <v>379</v>
      </c>
      <c r="I82" s="12" t="s">
        <v>380</v>
      </c>
    </row>
    <row r="83" ht="15.75" customHeight="1">
      <c r="A83" s="7" t="s">
        <v>256</v>
      </c>
      <c r="B83" s="7">
        <v>291013.0</v>
      </c>
      <c r="C83" s="9">
        <v>44352.0</v>
      </c>
      <c r="D83" s="7">
        <v>4.0</v>
      </c>
      <c r="E83" s="7" t="s">
        <v>53</v>
      </c>
      <c r="F83" s="7" t="s">
        <v>381</v>
      </c>
      <c r="G83" s="7" t="s">
        <v>55</v>
      </c>
      <c r="H83" s="12" t="s">
        <v>382</v>
      </c>
      <c r="I83" s="12" t="s">
        <v>383</v>
      </c>
    </row>
    <row r="84" ht="15.75" customHeight="1">
      <c r="A84" s="7" t="s">
        <v>256</v>
      </c>
      <c r="B84" s="7">
        <v>194966.0</v>
      </c>
      <c r="C84" s="9">
        <v>44303.0</v>
      </c>
      <c r="D84" s="7">
        <v>4.0</v>
      </c>
      <c r="E84" s="7" t="s">
        <v>53</v>
      </c>
      <c r="F84" s="7" t="s">
        <v>66</v>
      </c>
      <c r="G84" s="7" t="s">
        <v>55</v>
      </c>
      <c r="H84" s="12" t="s">
        <v>387</v>
      </c>
      <c r="I84" s="12" t="s">
        <v>389</v>
      </c>
    </row>
    <row r="85" ht="15.75" customHeight="1">
      <c r="A85" s="7" t="s">
        <v>256</v>
      </c>
      <c r="B85" s="7">
        <v>214604.0</v>
      </c>
      <c r="C85" s="9">
        <v>44270.0</v>
      </c>
      <c r="D85" s="7">
        <v>6.0</v>
      </c>
      <c r="E85" s="7" t="s">
        <v>53</v>
      </c>
      <c r="F85" s="7" t="s">
        <v>80</v>
      </c>
      <c r="G85" s="7" t="s">
        <v>55</v>
      </c>
      <c r="H85" s="12" t="s">
        <v>392</v>
      </c>
      <c r="I85" s="12" t="s">
        <v>393</v>
      </c>
    </row>
    <row r="86" ht="15.75" customHeight="1">
      <c r="A86" s="7" t="s">
        <v>394</v>
      </c>
      <c r="B86" s="7">
        <v>7146528.0</v>
      </c>
      <c r="C86" s="9">
        <v>45990.0</v>
      </c>
      <c r="D86" s="7">
        <v>8.0</v>
      </c>
      <c r="E86" s="7" t="s">
        <v>53</v>
      </c>
      <c r="F86" s="7" t="s">
        <v>54</v>
      </c>
      <c r="G86" s="7" t="s">
        <v>55</v>
      </c>
      <c r="H86" s="12" t="s">
        <v>396</v>
      </c>
      <c r="I86" s="12" t="s">
        <v>397</v>
      </c>
    </row>
    <row r="87" ht="15.75" customHeight="1">
      <c r="A87" s="7" t="s">
        <v>394</v>
      </c>
      <c r="B87" s="7">
        <v>6237073.0</v>
      </c>
      <c r="C87" s="9">
        <v>45792.0</v>
      </c>
      <c r="D87" s="7">
        <v>2.0</v>
      </c>
      <c r="E87" s="7" t="s">
        <v>79</v>
      </c>
      <c r="F87" s="7" t="s">
        <v>110</v>
      </c>
      <c r="G87" s="7" t="s">
        <v>55</v>
      </c>
      <c r="H87" s="12" t="s">
        <v>399</v>
      </c>
      <c r="I87" s="12" t="s">
        <v>400</v>
      </c>
    </row>
    <row r="88" ht="15.75" customHeight="1">
      <c r="A88" s="7" t="s">
        <v>394</v>
      </c>
      <c r="B88" s="7">
        <v>3096850.0</v>
      </c>
      <c r="C88" s="9">
        <v>45442.0</v>
      </c>
      <c r="D88" s="7">
        <v>1.0</v>
      </c>
      <c r="E88" s="7" t="s">
        <v>53</v>
      </c>
      <c r="F88" s="7" t="s">
        <v>83</v>
      </c>
      <c r="G88" s="7" t="s">
        <v>55</v>
      </c>
      <c r="H88" s="12" t="s">
        <v>402</v>
      </c>
      <c r="I88" s="12" t="s">
        <v>404</v>
      </c>
    </row>
    <row r="89" ht="15.75" customHeight="1">
      <c r="A89" s="7" t="s">
        <v>394</v>
      </c>
      <c r="B89" s="7">
        <v>3968051.0</v>
      </c>
      <c r="C89" s="9">
        <v>45343.0</v>
      </c>
      <c r="D89" s="7">
        <v>7.0</v>
      </c>
      <c r="E89" s="7" t="s">
        <v>79</v>
      </c>
      <c r="F89" s="7" t="s">
        <v>80</v>
      </c>
      <c r="G89" s="7" t="s">
        <v>55</v>
      </c>
      <c r="H89" s="12" t="s">
        <v>406</v>
      </c>
      <c r="I89" s="12" t="s">
        <v>407</v>
      </c>
    </row>
    <row r="90" ht="15.75" customHeight="1">
      <c r="A90" s="7" t="s">
        <v>394</v>
      </c>
      <c r="B90" s="7">
        <v>3779843.0</v>
      </c>
      <c r="C90" s="9">
        <v>45337.0</v>
      </c>
      <c r="D90" s="7">
        <v>1.0</v>
      </c>
      <c r="E90" s="7" t="s">
        <v>82</v>
      </c>
      <c r="F90" s="7" t="s">
        <v>110</v>
      </c>
      <c r="G90" s="7" t="s">
        <v>55</v>
      </c>
      <c r="H90" s="12" t="s">
        <v>409</v>
      </c>
      <c r="I90" s="12" t="s">
        <v>410</v>
      </c>
    </row>
    <row r="91" ht="15.75" customHeight="1">
      <c r="A91" s="7" t="s">
        <v>394</v>
      </c>
      <c r="B91" s="7">
        <v>1710685.0</v>
      </c>
      <c r="C91" s="9">
        <v>45111.0</v>
      </c>
      <c r="D91" s="7">
        <v>3.0</v>
      </c>
      <c r="E91" s="7" t="s">
        <v>53</v>
      </c>
      <c r="F91" s="7" t="s">
        <v>66</v>
      </c>
      <c r="G91" s="7" t="s">
        <v>55</v>
      </c>
      <c r="H91" s="12" t="s">
        <v>414</v>
      </c>
      <c r="I91" s="12" t="s">
        <v>415</v>
      </c>
    </row>
    <row r="92" ht="15.75" customHeight="1">
      <c r="A92" s="7" t="s">
        <v>394</v>
      </c>
      <c r="B92" s="7">
        <v>706490.0</v>
      </c>
      <c r="C92" s="9">
        <v>44907.0</v>
      </c>
      <c r="D92" s="7">
        <v>7.0</v>
      </c>
      <c r="E92" s="7" t="s">
        <v>79</v>
      </c>
      <c r="F92" s="7" t="s">
        <v>80</v>
      </c>
      <c r="G92" s="7" t="s">
        <v>55</v>
      </c>
      <c r="H92" s="12" t="s">
        <v>417</v>
      </c>
      <c r="I92" s="12" t="s">
        <v>418</v>
      </c>
    </row>
    <row r="93" ht="15.75" customHeight="1">
      <c r="A93" s="7" t="s">
        <v>394</v>
      </c>
      <c r="B93" s="7">
        <v>926135.0</v>
      </c>
      <c r="C93" s="9">
        <v>44711.0</v>
      </c>
      <c r="D93" s="7">
        <v>7.0</v>
      </c>
      <c r="E93" s="7" t="s">
        <v>53</v>
      </c>
      <c r="F93" s="7" t="s">
        <v>80</v>
      </c>
      <c r="G93" s="7" t="s">
        <v>55</v>
      </c>
      <c r="H93" s="12" t="s">
        <v>420</v>
      </c>
      <c r="I93" s="12" t="s">
        <v>422</v>
      </c>
    </row>
    <row r="94" ht="15.75" customHeight="1">
      <c r="A94" s="7" t="s">
        <v>394</v>
      </c>
      <c r="B94" s="7">
        <v>211319.0</v>
      </c>
      <c r="C94" s="9">
        <v>44672.0</v>
      </c>
      <c r="D94" s="7">
        <v>4.0</v>
      </c>
      <c r="E94" s="7" t="s">
        <v>53</v>
      </c>
      <c r="F94" s="7" t="s">
        <v>66</v>
      </c>
      <c r="G94" s="7" t="s">
        <v>55</v>
      </c>
      <c r="H94" s="12" t="s">
        <v>423</v>
      </c>
      <c r="I94" s="12" t="s">
        <v>424</v>
      </c>
    </row>
    <row r="95" ht="15.75" customHeight="1">
      <c r="A95" s="7" t="s">
        <v>394</v>
      </c>
      <c r="B95" s="7">
        <v>280387.0</v>
      </c>
      <c r="C95" s="9">
        <v>44519.0</v>
      </c>
      <c r="D95" s="7">
        <v>7.0</v>
      </c>
      <c r="E95" s="7" t="s">
        <v>53</v>
      </c>
      <c r="F95" s="7" t="s">
        <v>66</v>
      </c>
      <c r="G95" s="7" t="s">
        <v>55</v>
      </c>
      <c r="H95" s="12" t="s">
        <v>425</v>
      </c>
      <c r="I95" s="12" t="s">
        <v>426</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95"/>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1.0819108E7</v>
      </c>
      <c r="C2" s="9">
        <v>46217.0</v>
      </c>
      <c r="D2" s="7">
        <v>3.0</v>
      </c>
      <c r="E2" s="7" t="s">
        <v>53</v>
      </c>
      <c r="F2" s="7" t="s">
        <v>69</v>
      </c>
      <c r="G2" s="7" t="s">
        <v>55</v>
      </c>
      <c r="H2" s="12" t="s">
        <v>535</v>
      </c>
      <c r="I2" s="12" t="s">
        <v>107</v>
      </c>
    </row>
    <row r="3">
      <c r="A3" s="11" t="s">
        <v>49</v>
      </c>
      <c r="B3" s="7">
        <v>1.0662219E7</v>
      </c>
      <c r="C3" s="9">
        <v>46203.0</v>
      </c>
      <c r="D3" s="7">
        <v>7.0</v>
      </c>
      <c r="E3" s="7" t="s">
        <v>53</v>
      </c>
      <c r="F3" s="7" t="s">
        <v>138</v>
      </c>
      <c r="G3" s="7" t="s">
        <v>55</v>
      </c>
      <c r="H3" s="12" t="s">
        <v>537</v>
      </c>
      <c r="I3" s="12" t="s">
        <v>538</v>
      </c>
    </row>
    <row r="4">
      <c r="A4" s="11" t="s">
        <v>49</v>
      </c>
      <c r="B4" s="7">
        <v>1.0482078E7</v>
      </c>
      <c r="C4" s="9">
        <v>46178.0</v>
      </c>
      <c r="D4" s="7">
        <v>4.0</v>
      </c>
      <c r="E4" s="7" t="s">
        <v>76</v>
      </c>
      <c r="F4" s="7" t="s">
        <v>80</v>
      </c>
      <c r="G4" s="7" t="s">
        <v>55</v>
      </c>
      <c r="H4" s="12" t="s">
        <v>540</v>
      </c>
      <c r="I4" s="12" t="s">
        <v>541</v>
      </c>
    </row>
    <row r="5">
      <c r="A5" s="11" t="s">
        <v>49</v>
      </c>
      <c r="B5" s="7">
        <v>4866745.0</v>
      </c>
      <c r="C5" s="9">
        <v>46150.0</v>
      </c>
      <c r="D5" s="7">
        <v>6.0</v>
      </c>
      <c r="E5" s="7" t="s">
        <v>53</v>
      </c>
      <c r="F5" s="7" t="s">
        <v>80</v>
      </c>
      <c r="G5" s="7" t="s">
        <v>55</v>
      </c>
      <c r="H5" s="12" t="s">
        <v>546</v>
      </c>
      <c r="I5" s="12" t="s">
        <v>551</v>
      </c>
    </row>
    <row r="6">
      <c r="A6" s="11" t="s">
        <v>49</v>
      </c>
      <c r="B6" s="7">
        <v>3257959.0</v>
      </c>
      <c r="C6" s="9">
        <v>46133.0</v>
      </c>
      <c r="D6" s="7">
        <v>7.0</v>
      </c>
      <c r="E6" s="7" t="s">
        <v>82</v>
      </c>
      <c r="F6" s="7" t="s">
        <v>83</v>
      </c>
      <c r="G6" s="7" t="s">
        <v>55</v>
      </c>
      <c r="H6" s="12" t="s">
        <v>554</v>
      </c>
      <c r="I6" s="12" t="s">
        <v>557</v>
      </c>
    </row>
    <row r="7">
      <c r="A7" s="11" t="s">
        <v>49</v>
      </c>
      <c r="B7" s="7">
        <v>7980726.0</v>
      </c>
      <c r="C7" s="9">
        <v>46100.0</v>
      </c>
      <c r="D7" s="7">
        <v>7.0</v>
      </c>
      <c r="E7" s="7" t="s">
        <v>53</v>
      </c>
      <c r="F7" s="7" t="s">
        <v>66</v>
      </c>
      <c r="G7" s="7" t="s">
        <v>55</v>
      </c>
      <c r="H7" s="12" t="s">
        <v>561</v>
      </c>
      <c r="I7" s="12" t="s">
        <v>562</v>
      </c>
    </row>
    <row r="8">
      <c r="A8" s="11" t="s">
        <v>49</v>
      </c>
      <c r="B8" s="7">
        <v>4147646.0</v>
      </c>
      <c r="C8" s="9">
        <v>46076.0</v>
      </c>
      <c r="D8" s="7">
        <v>3.0</v>
      </c>
      <c r="E8" s="7" t="s">
        <v>79</v>
      </c>
      <c r="F8" s="7" t="s">
        <v>80</v>
      </c>
      <c r="G8" s="7" t="s">
        <v>55</v>
      </c>
      <c r="H8" s="12" t="s">
        <v>572</v>
      </c>
      <c r="I8" s="12" t="s">
        <v>573</v>
      </c>
    </row>
    <row r="9">
      <c r="A9" s="11" t="s">
        <v>49</v>
      </c>
      <c r="B9" s="7">
        <v>8176083.0</v>
      </c>
      <c r="C9" s="9">
        <v>46063.0</v>
      </c>
      <c r="D9" s="7">
        <v>8.0</v>
      </c>
      <c r="E9" s="7" t="s">
        <v>53</v>
      </c>
      <c r="F9" s="7" t="s">
        <v>66</v>
      </c>
      <c r="G9" s="7" t="s">
        <v>55</v>
      </c>
      <c r="H9" s="12" t="s">
        <v>576</v>
      </c>
      <c r="I9" s="12" t="s">
        <v>131</v>
      </c>
    </row>
    <row r="10">
      <c r="A10" s="11" t="s">
        <v>49</v>
      </c>
      <c r="B10" s="7">
        <v>7979778.0</v>
      </c>
      <c r="C10" s="9">
        <v>45996.0</v>
      </c>
      <c r="D10" s="7">
        <v>6.0</v>
      </c>
      <c r="E10" s="7" t="s">
        <v>53</v>
      </c>
      <c r="F10" s="7" t="s">
        <v>69</v>
      </c>
      <c r="G10" s="7" t="s">
        <v>55</v>
      </c>
      <c r="H10" s="12" t="s">
        <v>583</v>
      </c>
      <c r="I10" s="12" t="s">
        <v>266</v>
      </c>
    </row>
    <row r="11">
      <c r="A11" s="11" t="s">
        <v>49</v>
      </c>
      <c r="B11" s="7">
        <v>4561677.0</v>
      </c>
      <c r="C11" s="9">
        <v>45872.0</v>
      </c>
      <c r="D11" s="7">
        <v>8.0</v>
      </c>
      <c r="E11" s="7" t="s">
        <v>53</v>
      </c>
      <c r="F11" s="7" t="s">
        <v>80</v>
      </c>
      <c r="G11" s="7" t="s">
        <v>55</v>
      </c>
      <c r="H11" s="12" t="s">
        <v>590</v>
      </c>
      <c r="I11" s="12" t="s">
        <v>591</v>
      </c>
    </row>
    <row r="12">
      <c r="A12" s="11" t="s">
        <v>49</v>
      </c>
      <c r="B12" s="7">
        <v>6590209.0</v>
      </c>
      <c r="C12" s="9">
        <v>45841.0</v>
      </c>
      <c r="D12" s="7">
        <v>7.0</v>
      </c>
      <c r="E12" s="7" t="s">
        <v>82</v>
      </c>
      <c r="F12" s="7" t="s">
        <v>73</v>
      </c>
      <c r="G12" s="7" t="s">
        <v>55</v>
      </c>
      <c r="H12" s="12" t="s">
        <v>596</v>
      </c>
      <c r="I12" s="12" t="s">
        <v>598</v>
      </c>
    </row>
    <row r="13">
      <c r="A13" s="11" t="s">
        <v>49</v>
      </c>
      <c r="B13" s="7">
        <v>2180678.0</v>
      </c>
      <c r="C13" s="9">
        <v>45814.0</v>
      </c>
      <c r="D13" s="7">
        <v>8.0</v>
      </c>
      <c r="E13" s="7" t="s">
        <v>53</v>
      </c>
      <c r="F13" s="7" t="s">
        <v>66</v>
      </c>
      <c r="G13" s="7" t="s">
        <v>55</v>
      </c>
      <c r="H13" s="12" t="s">
        <v>605</v>
      </c>
      <c r="I13" s="12" t="s">
        <v>608</v>
      </c>
    </row>
    <row r="14">
      <c r="A14" s="11" t="s">
        <v>49</v>
      </c>
      <c r="B14" s="7">
        <v>1469055.0</v>
      </c>
      <c r="C14" s="9">
        <v>45789.0</v>
      </c>
      <c r="D14" s="7">
        <v>1.0</v>
      </c>
      <c r="E14" s="7" t="s">
        <v>53</v>
      </c>
      <c r="F14" s="7" t="s">
        <v>66</v>
      </c>
      <c r="G14" s="7" t="s">
        <v>55</v>
      </c>
      <c r="H14" s="12" t="s">
        <v>621</v>
      </c>
      <c r="I14" s="12" t="s">
        <v>155</v>
      </c>
    </row>
    <row r="15">
      <c r="A15" s="11" t="s">
        <v>49</v>
      </c>
      <c r="B15" s="7">
        <v>5377500.0</v>
      </c>
      <c r="C15" s="9">
        <v>45595.0</v>
      </c>
      <c r="D15" s="7">
        <v>2.0</v>
      </c>
      <c r="E15" s="7" t="s">
        <v>82</v>
      </c>
      <c r="F15" s="7" t="s">
        <v>73</v>
      </c>
      <c r="G15" s="7" t="s">
        <v>55</v>
      </c>
      <c r="H15" s="12" t="s">
        <v>628</v>
      </c>
      <c r="I15" s="12" t="s">
        <v>168</v>
      </c>
    </row>
    <row r="16">
      <c r="A16" s="11" t="s">
        <v>49</v>
      </c>
      <c r="B16" s="7">
        <v>5138298.0</v>
      </c>
      <c r="C16" s="9">
        <v>45531.0</v>
      </c>
      <c r="D16" s="7">
        <v>5.0</v>
      </c>
      <c r="E16" s="7" t="s">
        <v>53</v>
      </c>
      <c r="F16" s="7" t="s">
        <v>142</v>
      </c>
      <c r="G16" s="7" t="s">
        <v>55</v>
      </c>
      <c r="H16" s="12" t="s">
        <v>632</v>
      </c>
      <c r="I16" s="12" t="s">
        <v>182</v>
      </c>
    </row>
    <row r="17">
      <c r="A17" s="11" t="s">
        <v>49</v>
      </c>
      <c r="B17" s="7">
        <v>2805835.0</v>
      </c>
      <c r="C17" s="9">
        <v>45176.0</v>
      </c>
      <c r="D17" s="7">
        <v>5.0</v>
      </c>
      <c r="E17" s="7" t="s">
        <v>53</v>
      </c>
      <c r="F17" s="7" t="s">
        <v>66</v>
      </c>
      <c r="G17" s="7" t="s">
        <v>55</v>
      </c>
      <c r="H17" s="12" t="s">
        <v>639</v>
      </c>
      <c r="I17" s="12" t="s">
        <v>640</v>
      </c>
    </row>
    <row r="18">
      <c r="A18" s="11" t="s">
        <v>49</v>
      </c>
      <c r="B18" s="7">
        <v>150712.0</v>
      </c>
      <c r="C18" s="9">
        <v>45148.0</v>
      </c>
      <c r="D18" s="7">
        <v>7.0</v>
      </c>
      <c r="E18" s="7" t="s">
        <v>79</v>
      </c>
      <c r="F18" s="7" t="s">
        <v>124</v>
      </c>
      <c r="G18" s="7" t="s">
        <v>55</v>
      </c>
      <c r="H18" s="12" t="s">
        <v>646</v>
      </c>
      <c r="I18" s="12" t="s">
        <v>343</v>
      </c>
    </row>
    <row r="19">
      <c r="A19" s="11" t="s">
        <v>49</v>
      </c>
      <c r="B19" s="7">
        <v>1052869.0</v>
      </c>
      <c r="C19" s="9">
        <v>45088.0</v>
      </c>
      <c r="D19" s="7">
        <v>5.0</v>
      </c>
      <c r="E19" s="7" t="s">
        <v>79</v>
      </c>
      <c r="F19" s="7" t="s">
        <v>80</v>
      </c>
      <c r="G19" s="7" t="s">
        <v>55</v>
      </c>
      <c r="H19" s="12" t="s">
        <v>652</v>
      </c>
      <c r="I19" s="12" t="s">
        <v>654</v>
      </c>
    </row>
    <row r="20">
      <c r="A20" s="11" t="s">
        <v>49</v>
      </c>
      <c r="B20" s="7">
        <v>2261684.0</v>
      </c>
      <c r="C20" s="9">
        <v>45074.0</v>
      </c>
      <c r="D20" s="7">
        <v>3.0</v>
      </c>
      <c r="E20" s="7" t="s">
        <v>53</v>
      </c>
      <c r="F20" s="7" t="s">
        <v>66</v>
      </c>
      <c r="G20" s="7" t="s">
        <v>55</v>
      </c>
      <c r="H20" s="12" t="s">
        <v>657</v>
      </c>
      <c r="I20" s="12" t="s">
        <v>658</v>
      </c>
    </row>
    <row r="21" ht="15.75" customHeight="1">
      <c r="A21" s="11" t="s">
        <v>49</v>
      </c>
      <c r="B21" s="7">
        <v>1846459.0</v>
      </c>
      <c r="C21" s="9">
        <v>45041.0</v>
      </c>
      <c r="D21" s="7">
        <v>3.0</v>
      </c>
      <c r="E21" s="7" t="s">
        <v>53</v>
      </c>
      <c r="F21" s="7" t="s">
        <v>66</v>
      </c>
      <c r="G21" s="7" t="s">
        <v>55</v>
      </c>
      <c r="H21" s="12" t="s">
        <v>666</v>
      </c>
      <c r="I21" s="12" t="s">
        <v>223</v>
      </c>
    </row>
    <row r="22" ht="15.75" customHeight="1">
      <c r="A22" s="11" t="s">
        <v>49</v>
      </c>
      <c r="B22" s="7">
        <v>194966.0</v>
      </c>
      <c r="C22" s="9">
        <v>45026.0</v>
      </c>
      <c r="D22" s="7">
        <v>1.0</v>
      </c>
      <c r="E22" s="7" t="s">
        <v>53</v>
      </c>
      <c r="F22" s="7" t="s">
        <v>66</v>
      </c>
      <c r="G22" s="7" t="s">
        <v>55</v>
      </c>
      <c r="H22" s="12" t="s">
        <v>672</v>
      </c>
      <c r="I22" s="12" t="s">
        <v>673</v>
      </c>
    </row>
    <row r="23" ht="15.75" customHeight="1">
      <c r="A23" s="11" t="s">
        <v>49</v>
      </c>
      <c r="B23" s="7">
        <v>1707550.0</v>
      </c>
      <c r="C23" s="9">
        <v>45006.0</v>
      </c>
      <c r="D23" s="7">
        <v>10.0</v>
      </c>
      <c r="E23" s="7" t="s">
        <v>53</v>
      </c>
      <c r="F23" s="7" t="s">
        <v>66</v>
      </c>
      <c r="G23" s="7" t="s">
        <v>55</v>
      </c>
      <c r="H23" s="12" t="s">
        <v>677</v>
      </c>
      <c r="I23" s="12" t="s">
        <v>678</v>
      </c>
    </row>
    <row r="24" ht="15.75" customHeight="1">
      <c r="A24" s="11" t="s">
        <v>49</v>
      </c>
      <c r="B24" s="7">
        <v>519789.0</v>
      </c>
      <c r="C24" s="9">
        <v>44923.0</v>
      </c>
      <c r="D24" s="7">
        <v>5.0</v>
      </c>
      <c r="E24" s="7" t="s">
        <v>53</v>
      </c>
      <c r="F24" s="7" t="s">
        <v>66</v>
      </c>
      <c r="G24" s="7" t="s">
        <v>55</v>
      </c>
      <c r="H24" s="12" t="s">
        <v>682</v>
      </c>
      <c r="I24" s="12" t="s">
        <v>360</v>
      </c>
    </row>
    <row r="25" ht="15.75" customHeight="1">
      <c r="A25" s="11" t="s">
        <v>49</v>
      </c>
      <c r="B25" s="7">
        <v>240496.0</v>
      </c>
      <c r="C25" s="9">
        <v>44853.0</v>
      </c>
      <c r="D25" s="7">
        <v>1.0</v>
      </c>
      <c r="E25" s="7" t="s">
        <v>82</v>
      </c>
      <c r="F25" s="7" t="s">
        <v>347</v>
      </c>
      <c r="G25" s="7" t="s">
        <v>55</v>
      </c>
      <c r="H25" s="12" t="s">
        <v>688</v>
      </c>
      <c r="I25" s="12" t="s">
        <v>689</v>
      </c>
    </row>
    <row r="26" ht="15.75" customHeight="1">
      <c r="A26" s="11" t="s">
        <v>49</v>
      </c>
      <c r="B26" s="7">
        <v>519789.0</v>
      </c>
      <c r="C26" s="9">
        <v>44832.0</v>
      </c>
      <c r="D26" s="7">
        <v>5.0</v>
      </c>
      <c r="E26" s="7" t="s">
        <v>53</v>
      </c>
      <c r="F26" s="7" t="s">
        <v>66</v>
      </c>
      <c r="G26" s="7" t="s">
        <v>55</v>
      </c>
      <c r="H26" s="12" t="s">
        <v>696</v>
      </c>
      <c r="I26" s="12" t="s">
        <v>697</v>
      </c>
    </row>
    <row r="27" ht="15.75" customHeight="1">
      <c r="A27" s="11" t="s">
        <v>49</v>
      </c>
      <c r="B27" s="7">
        <v>156726.0</v>
      </c>
      <c r="C27" s="9">
        <v>44731.0</v>
      </c>
      <c r="D27" s="7">
        <v>7.0</v>
      </c>
      <c r="E27" s="7" t="s">
        <v>53</v>
      </c>
      <c r="F27" s="7" t="s">
        <v>80</v>
      </c>
      <c r="G27" s="7" t="s">
        <v>55</v>
      </c>
      <c r="H27" s="12" t="s">
        <v>703</v>
      </c>
      <c r="I27" s="12" t="s">
        <v>705</v>
      </c>
    </row>
    <row r="28" ht="15.75" customHeight="1">
      <c r="A28" s="11" t="s">
        <v>49</v>
      </c>
      <c r="B28" s="7">
        <v>749178.0</v>
      </c>
      <c r="C28" s="9">
        <v>44726.0</v>
      </c>
      <c r="D28" s="7">
        <v>1.0</v>
      </c>
      <c r="E28" s="7" t="s">
        <v>53</v>
      </c>
      <c r="F28" s="7" t="s">
        <v>66</v>
      </c>
      <c r="G28" s="7" t="s">
        <v>55</v>
      </c>
      <c r="H28" s="12" t="s">
        <v>709</v>
      </c>
      <c r="I28" s="12" t="s">
        <v>226</v>
      </c>
    </row>
    <row r="29" ht="15.75" customHeight="1">
      <c r="A29" s="11" t="s">
        <v>49</v>
      </c>
      <c r="B29" s="7">
        <v>613160.0</v>
      </c>
      <c r="C29" s="9">
        <v>44687.0</v>
      </c>
      <c r="D29" s="7">
        <v>10.0</v>
      </c>
      <c r="E29" s="7" t="s">
        <v>82</v>
      </c>
      <c r="F29" s="7" t="s">
        <v>80</v>
      </c>
      <c r="G29" s="7" t="s">
        <v>55</v>
      </c>
      <c r="H29" s="12" t="s">
        <v>713</v>
      </c>
      <c r="I29" s="12" t="s">
        <v>714</v>
      </c>
    </row>
    <row r="30" ht="15.75" customHeight="1">
      <c r="A30" s="11" t="s">
        <v>49</v>
      </c>
      <c r="B30" s="7">
        <v>697377.0</v>
      </c>
      <c r="C30" s="9">
        <v>44644.0</v>
      </c>
      <c r="D30" s="7">
        <v>7.0</v>
      </c>
      <c r="E30" s="7" t="s">
        <v>53</v>
      </c>
      <c r="F30" s="7" t="s">
        <v>66</v>
      </c>
      <c r="G30" s="7" t="s">
        <v>55</v>
      </c>
      <c r="H30" s="12" t="s">
        <v>718</v>
      </c>
      <c r="I30" s="12" t="s">
        <v>720</v>
      </c>
    </row>
    <row r="31" ht="15.75" customHeight="1">
      <c r="A31" s="11" t="s">
        <v>49</v>
      </c>
      <c r="B31" s="7">
        <v>693565.0</v>
      </c>
      <c r="C31" s="9">
        <v>44641.0</v>
      </c>
      <c r="D31" s="7">
        <v>7.0</v>
      </c>
      <c r="E31" s="7" t="s">
        <v>53</v>
      </c>
      <c r="F31" s="7" t="s">
        <v>110</v>
      </c>
      <c r="G31" s="7" t="s">
        <v>55</v>
      </c>
      <c r="H31" s="12" t="s">
        <v>725</v>
      </c>
      <c r="I31" s="12" t="s">
        <v>727</v>
      </c>
    </row>
    <row r="32" ht="15.75" customHeight="1">
      <c r="A32" s="11" t="s">
        <v>49</v>
      </c>
      <c r="B32" s="7">
        <v>788429.0</v>
      </c>
      <c r="C32" s="9">
        <v>44638.0</v>
      </c>
      <c r="D32" s="7">
        <v>9.0</v>
      </c>
      <c r="E32" s="7" t="s">
        <v>53</v>
      </c>
      <c r="F32" s="7" t="s">
        <v>66</v>
      </c>
      <c r="G32" s="7" t="s">
        <v>55</v>
      </c>
      <c r="H32" s="12" t="s">
        <v>731</v>
      </c>
      <c r="I32" s="12" t="s">
        <v>735</v>
      </c>
    </row>
    <row r="33" ht="15.75" customHeight="1">
      <c r="A33" s="11" t="s">
        <v>49</v>
      </c>
      <c r="B33" s="7">
        <v>509862.0</v>
      </c>
      <c r="C33" s="9">
        <v>44637.0</v>
      </c>
      <c r="D33" s="7">
        <v>6.0</v>
      </c>
      <c r="E33" s="7" t="s">
        <v>53</v>
      </c>
      <c r="F33" s="7" t="s">
        <v>66</v>
      </c>
      <c r="G33" s="7" t="s">
        <v>55</v>
      </c>
      <c r="H33" s="12" t="s">
        <v>739</v>
      </c>
      <c r="I33" s="12" t="s">
        <v>740</v>
      </c>
    </row>
    <row r="34" ht="15.75" customHeight="1">
      <c r="A34" s="11" t="s">
        <v>49</v>
      </c>
      <c r="B34" s="7">
        <v>492460.0</v>
      </c>
      <c r="C34" s="9">
        <v>44613.0</v>
      </c>
      <c r="D34" s="7">
        <v>6.0</v>
      </c>
      <c r="E34" s="7" t="s">
        <v>53</v>
      </c>
      <c r="F34" s="7" t="s">
        <v>66</v>
      </c>
      <c r="G34" s="7" t="s">
        <v>55</v>
      </c>
      <c r="H34" s="12" t="s">
        <v>746</v>
      </c>
      <c r="I34" s="12" t="s">
        <v>747</v>
      </c>
    </row>
    <row r="35" ht="15.75" customHeight="1">
      <c r="A35" s="11" t="s">
        <v>49</v>
      </c>
      <c r="B35" s="7">
        <v>262399.0</v>
      </c>
      <c r="C35" s="9">
        <v>44606.0</v>
      </c>
      <c r="D35" s="7">
        <v>4.0</v>
      </c>
      <c r="E35" s="7" t="s">
        <v>53</v>
      </c>
      <c r="F35" s="7" t="s">
        <v>80</v>
      </c>
      <c r="G35" s="7" t="s">
        <v>55</v>
      </c>
      <c r="H35" s="12" t="s">
        <v>751</v>
      </c>
      <c r="I35" s="12" t="s">
        <v>752</v>
      </c>
    </row>
    <row r="36" ht="15.75" customHeight="1">
      <c r="A36" s="11" t="s">
        <v>49</v>
      </c>
      <c r="B36" s="7">
        <v>349586.0</v>
      </c>
      <c r="C36" s="9">
        <v>44571.0</v>
      </c>
      <c r="D36" s="7">
        <v>4.0</v>
      </c>
      <c r="E36" s="7" t="s">
        <v>53</v>
      </c>
      <c r="F36" s="7" t="s">
        <v>66</v>
      </c>
      <c r="G36" s="7" t="s">
        <v>55</v>
      </c>
      <c r="H36" s="12" t="s">
        <v>756</v>
      </c>
      <c r="I36" s="12" t="s">
        <v>757</v>
      </c>
    </row>
    <row r="37" ht="15.75" customHeight="1">
      <c r="A37" s="11" t="s">
        <v>49</v>
      </c>
      <c r="B37" s="7">
        <v>238937.0</v>
      </c>
      <c r="C37" s="9">
        <v>44533.0</v>
      </c>
      <c r="D37" s="7">
        <v>6.0</v>
      </c>
      <c r="E37" s="7" t="s">
        <v>53</v>
      </c>
      <c r="F37" s="7" t="s">
        <v>66</v>
      </c>
      <c r="G37" s="7" t="s">
        <v>55</v>
      </c>
      <c r="H37" s="12" t="s">
        <v>760</v>
      </c>
      <c r="I37" s="12" t="s">
        <v>377</v>
      </c>
    </row>
    <row r="38" ht="15.75" customHeight="1">
      <c r="A38" s="11" t="s">
        <v>49</v>
      </c>
      <c r="B38" s="7">
        <v>244251.0</v>
      </c>
      <c r="C38" s="9">
        <v>44392.0</v>
      </c>
      <c r="D38" s="7">
        <v>2.0</v>
      </c>
      <c r="E38" s="7" t="s">
        <v>53</v>
      </c>
      <c r="F38" s="7" t="s">
        <v>66</v>
      </c>
      <c r="G38" s="7" t="s">
        <v>55</v>
      </c>
      <c r="H38" s="12" t="s">
        <v>767</v>
      </c>
      <c r="I38" s="12" t="s">
        <v>768</v>
      </c>
    </row>
    <row r="39" ht="15.75" customHeight="1">
      <c r="A39" s="11" t="s">
        <v>49</v>
      </c>
      <c r="B39" s="7">
        <v>189697.0</v>
      </c>
      <c r="C39" s="9">
        <v>44359.0</v>
      </c>
      <c r="D39" s="7">
        <v>6.0</v>
      </c>
      <c r="E39" s="7" t="s">
        <v>82</v>
      </c>
      <c r="F39" s="7" t="s">
        <v>192</v>
      </c>
      <c r="G39" s="7" t="s">
        <v>55</v>
      </c>
      <c r="H39" s="12" t="s">
        <v>769</v>
      </c>
      <c r="I39" s="12" t="s">
        <v>380</v>
      </c>
    </row>
    <row r="40" ht="15.75" customHeight="1">
      <c r="A40" s="11" t="s">
        <v>49</v>
      </c>
      <c r="B40" s="7">
        <v>291013.0</v>
      </c>
      <c r="C40" s="9">
        <v>44352.0</v>
      </c>
      <c r="D40" s="7">
        <v>4.0</v>
      </c>
      <c r="E40" s="7" t="s">
        <v>53</v>
      </c>
      <c r="F40" s="7" t="s">
        <v>381</v>
      </c>
      <c r="G40" s="7" t="s">
        <v>55</v>
      </c>
      <c r="H40" s="12" t="s">
        <v>771</v>
      </c>
      <c r="I40" s="12" t="s">
        <v>383</v>
      </c>
    </row>
    <row r="41" ht="15.75" customHeight="1">
      <c r="A41" s="11" t="s">
        <v>49</v>
      </c>
      <c r="B41" s="7">
        <v>120687.0</v>
      </c>
      <c r="C41" s="9">
        <v>44258.0</v>
      </c>
      <c r="D41" s="7">
        <v>2.0</v>
      </c>
      <c r="E41" s="7" t="s">
        <v>53</v>
      </c>
      <c r="F41" s="7" t="s">
        <v>124</v>
      </c>
      <c r="G41" s="7" t="s">
        <v>55</v>
      </c>
      <c r="H41" s="12" t="s">
        <v>773</v>
      </c>
      <c r="I41" s="12" t="s">
        <v>774</v>
      </c>
    </row>
    <row r="42" ht="15.75" customHeight="1">
      <c r="A42" s="7" t="s">
        <v>256</v>
      </c>
      <c r="B42" s="7">
        <v>1.0280168E7</v>
      </c>
      <c r="C42" s="9">
        <v>46244.0</v>
      </c>
      <c r="D42" s="7">
        <v>8.0</v>
      </c>
      <c r="E42" s="7" t="s">
        <v>100</v>
      </c>
      <c r="F42" s="7" t="s">
        <v>69</v>
      </c>
      <c r="G42" s="7" t="s">
        <v>55</v>
      </c>
      <c r="H42" s="12" t="s">
        <v>777</v>
      </c>
      <c r="I42" s="12" t="s">
        <v>259</v>
      </c>
    </row>
    <row r="43" ht="15.75" customHeight="1">
      <c r="A43" s="7" t="s">
        <v>256</v>
      </c>
      <c r="B43" s="7">
        <v>9381125.0</v>
      </c>
      <c r="C43" s="9">
        <v>46182.0</v>
      </c>
      <c r="D43" s="7">
        <v>6.0</v>
      </c>
      <c r="E43" s="7" t="s">
        <v>53</v>
      </c>
      <c r="F43" s="7" t="s">
        <v>272</v>
      </c>
      <c r="G43" s="7" t="s">
        <v>55</v>
      </c>
      <c r="H43" s="12" t="s">
        <v>784</v>
      </c>
      <c r="I43" s="12" t="s">
        <v>613</v>
      </c>
    </row>
    <row r="44" ht="15.75" customHeight="1">
      <c r="A44" s="7" t="s">
        <v>256</v>
      </c>
      <c r="B44" s="7">
        <v>7390895.0</v>
      </c>
      <c r="C44" s="9">
        <v>46153.0</v>
      </c>
      <c r="D44" s="7">
        <v>8.0</v>
      </c>
      <c r="E44" s="7" t="s">
        <v>82</v>
      </c>
      <c r="F44" s="7" t="s">
        <v>54</v>
      </c>
      <c r="G44" s="7" t="s">
        <v>55</v>
      </c>
      <c r="H44" s="12" t="s">
        <v>788</v>
      </c>
      <c r="I44" s="12" t="s">
        <v>789</v>
      </c>
    </row>
    <row r="45" ht="15.75" customHeight="1">
      <c r="A45" s="7" t="s">
        <v>256</v>
      </c>
      <c r="B45" s="7">
        <v>6712333.0</v>
      </c>
      <c r="C45" s="9">
        <v>46077.0</v>
      </c>
      <c r="D45" s="7">
        <v>6.0</v>
      </c>
      <c r="E45" s="7" t="s">
        <v>82</v>
      </c>
      <c r="F45" s="7" t="s">
        <v>272</v>
      </c>
      <c r="G45" s="7" t="s">
        <v>55</v>
      </c>
      <c r="H45" s="12" t="s">
        <v>794</v>
      </c>
      <c r="I45" s="12" t="s">
        <v>796</v>
      </c>
    </row>
    <row r="46" ht="15.75" customHeight="1">
      <c r="A46" s="7" t="s">
        <v>256</v>
      </c>
      <c r="B46" s="7">
        <v>3752497.0</v>
      </c>
      <c r="C46" s="9">
        <v>45733.0</v>
      </c>
      <c r="D46" s="7">
        <v>5.0</v>
      </c>
      <c r="E46" s="7" t="s">
        <v>53</v>
      </c>
      <c r="F46" s="7" t="s">
        <v>66</v>
      </c>
      <c r="G46" s="7" t="s">
        <v>55</v>
      </c>
      <c r="H46" s="12" t="s">
        <v>801</v>
      </c>
      <c r="I46" s="12" t="s">
        <v>802</v>
      </c>
    </row>
    <row r="47" ht="15.75" customHeight="1">
      <c r="A47" s="7" t="s">
        <v>256</v>
      </c>
      <c r="B47" s="7">
        <v>1084353.0</v>
      </c>
      <c r="C47" s="9">
        <v>45498.0</v>
      </c>
      <c r="D47" s="7">
        <v>1.0</v>
      </c>
      <c r="E47" s="7" t="s">
        <v>53</v>
      </c>
      <c r="F47" s="7" t="s">
        <v>66</v>
      </c>
      <c r="G47" s="7" t="s">
        <v>55</v>
      </c>
      <c r="H47" s="12" t="s">
        <v>807</v>
      </c>
      <c r="I47" s="12" t="s">
        <v>810</v>
      </c>
    </row>
    <row r="48" ht="15.75" customHeight="1">
      <c r="A48" s="7" t="s">
        <v>256</v>
      </c>
      <c r="B48" s="7">
        <v>4427115.0</v>
      </c>
      <c r="C48" s="9">
        <v>45362.0</v>
      </c>
      <c r="D48" s="7">
        <v>2.0</v>
      </c>
      <c r="E48" s="7" t="s">
        <v>53</v>
      </c>
      <c r="F48" s="7" t="s">
        <v>66</v>
      </c>
      <c r="G48" s="7" t="s">
        <v>55</v>
      </c>
      <c r="H48" s="12" t="s">
        <v>815</v>
      </c>
      <c r="I48" s="12" t="s">
        <v>815</v>
      </c>
    </row>
    <row r="49" ht="15.75" customHeight="1">
      <c r="A49" s="7" t="s">
        <v>256</v>
      </c>
      <c r="B49" s="7">
        <v>3106944.0</v>
      </c>
      <c r="C49" s="9">
        <v>45278.0</v>
      </c>
      <c r="D49" s="7">
        <v>5.0</v>
      </c>
      <c r="E49" s="7" t="s">
        <v>53</v>
      </c>
      <c r="F49" s="7" t="s">
        <v>66</v>
      </c>
      <c r="G49" s="7" t="s">
        <v>55</v>
      </c>
      <c r="H49" s="12" t="s">
        <v>820</v>
      </c>
      <c r="I49" s="12" t="s">
        <v>203</v>
      </c>
    </row>
    <row r="50" ht="15.75" customHeight="1">
      <c r="A50" s="7" t="s">
        <v>256</v>
      </c>
      <c r="B50" s="7">
        <v>521173.0</v>
      </c>
      <c r="C50" s="9">
        <v>45190.0</v>
      </c>
      <c r="D50" s="7">
        <v>1.0</v>
      </c>
      <c r="E50" s="7" t="s">
        <v>53</v>
      </c>
      <c r="F50" s="7" t="s">
        <v>66</v>
      </c>
      <c r="G50" s="7" t="s">
        <v>55</v>
      </c>
      <c r="H50" s="12" t="s">
        <v>827</v>
      </c>
      <c r="I50" s="12" t="s">
        <v>828</v>
      </c>
    </row>
    <row r="51" ht="15.75" customHeight="1">
      <c r="A51" s="7" t="s">
        <v>256</v>
      </c>
      <c r="B51" s="7">
        <v>1098260.0</v>
      </c>
      <c r="C51" s="9">
        <v>45078.0</v>
      </c>
      <c r="D51" s="7">
        <v>6.0</v>
      </c>
      <c r="E51" s="7" t="s">
        <v>53</v>
      </c>
      <c r="F51" s="7" t="s">
        <v>66</v>
      </c>
      <c r="G51" s="7" t="s">
        <v>55</v>
      </c>
      <c r="H51" s="12" t="s">
        <v>835</v>
      </c>
      <c r="I51" s="12" t="s">
        <v>836</v>
      </c>
    </row>
    <row r="52" ht="15.75" customHeight="1">
      <c r="A52" s="7" t="s">
        <v>256</v>
      </c>
      <c r="B52" s="7">
        <v>1378879.0</v>
      </c>
      <c r="C52" s="9">
        <v>45048.0</v>
      </c>
      <c r="D52" s="7">
        <v>4.0</v>
      </c>
      <c r="E52" s="7" t="s">
        <v>53</v>
      </c>
      <c r="F52" s="7" t="s">
        <v>80</v>
      </c>
      <c r="G52" s="7" t="s">
        <v>55</v>
      </c>
      <c r="H52" s="12" t="s">
        <v>837</v>
      </c>
      <c r="I52" s="12" t="s">
        <v>838</v>
      </c>
    </row>
    <row r="53" ht="15.75" customHeight="1">
      <c r="A53" s="7" t="s">
        <v>256</v>
      </c>
      <c r="B53" s="7">
        <v>2626933.0</v>
      </c>
      <c r="C53" s="9">
        <v>45036.0</v>
      </c>
      <c r="D53" s="7">
        <v>4.0</v>
      </c>
      <c r="E53" s="7" t="s">
        <v>53</v>
      </c>
      <c r="F53" s="7" t="s">
        <v>66</v>
      </c>
      <c r="G53" s="7" t="s">
        <v>55</v>
      </c>
      <c r="H53" s="12" t="s">
        <v>839</v>
      </c>
      <c r="I53" s="12" t="s">
        <v>840</v>
      </c>
    </row>
    <row r="54" ht="15.75" customHeight="1">
      <c r="A54" s="7" t="s">
        <v>256</v>
      </c>
      <c r="B54" s="7">
        <v>839208.0</v>
      </c>
      <c r="C54" s="9">
        <v>45014.0</v>
      </c>
      <c r="D54" s="7">
        <v>6.0</v>
      </c>
      <c r="E54" s="7" t="s">
        <v>53</v>
      </c>
      <c r="F54" s="7" t="s">
        <v>66</v>
      </c>
      <c r="G54" s="7" t="s">
        <v>55</v>
      </c>
      <c r="H54" s="12" t="s">
        <v>842</v>
      </c>
      <c r="I54" s="12" t="s">
        <v>843</v>
      </c>
    </row>
    <row r="55" ht="15.75" customHeight="1">
      <c r="A55" s="7" t="s">
        <v>256</v>
      </c>
      <c r="B55" s="7">
        <v>667867.0</v>
      </c>
      <c r="C55" s="9">
        <v>45006.0</v>
      </c>
      <c r="D55" s="7">
        <v>5.0</v>
      </c>
      <c r="E55" s="7" t="s">
        <v>53</v>
      </c>
      <c r="F55" s="7" t="s">
        <v>66</v>
      </c>
      <c r="G55" s="7" t="s">
        <v>55</v>
      </c>
      <c r="H55" s="12" t="s">
        <v>844</v>
      </c>
      <c r="I55" s="12" t="s">
        <v>846</v>
      </c>
    </row>
    <row r="56" ht="15.75" customHeight="1">
      <c r="A56" s="7" t="s">
        <v>256</v>
      </c>
      <c r="B56" s="7">
        <v>1534777.0</v>
      </c>
      <c r="C56" s="9">
        <v>44979.0</v>
      </c>
      <c r="D56" s="7">
        <v>2.0</v>
      </c>
      <c r="E56" s="7" t="s">
        <v>53</v>
      </c>
      <c r="F56" s="7" t="s">
        <v>80</v>
      </c>
      <c r="G56" s="7" t="s">
        <v>55</v>
      </c>
      <c r="H56" s="12" t="s">
        <v>849</v>
      </c>
      <c r="I56" s="12" t="s">
        <v>850</v>
      </c>
    </row>
    <row r="57" ht="15.75" customHeight="1">
      <c r="A57" s="7" t="s">
        <v>256</v>
      </c>
      <c r="B57" s="7">
        <v>234431.0</v>
      </c>
      <c r="C57" s="9">
        <v>44970.0</v>
      </c>
      <c r="D57" s="7">
        <v>2.0</v>
      </c>
      <c r="E57" s="7" t="s">
        <v>53</v>
      </c>
      <c r="F57" s="7" t="s">
        <v>66</v>
      </c>
      <c r="G57" s="7" t="s">
        <v>55</v>
      </c>
      <c r="H57" s="12" t="s">
        <v>853</v>
      </c>
      <c r="I57" s="12" t="s">
        <v>854</v>
      </c>
    </row>
    <row r="58" ht="15.75" customHeight="1">
      <c r="A58" s="7" t="s">
        <v>256</v>
      </c>
      <c r="B58" s="7">
        <v>1084353.0</v>
      </c>
      <c r="C58" s="9">
        <v>44858.0</v>
      </c>
      <c r="D58" s="7">
        <v>3.0</v>
      </c>
      <c r="E58" s="7" t="s">
        <v>53</v>
      </c>
      <c r="F58" s="7" t="s">
        <v>66</v>
      </c>
      <c r="G58" s="7" t="s">
        <v>55</v>
      </c>
      <c r="H58" s="12" t="s">
        <v>857</v>
      </c>
      <c r="I58" s="12" t="s">
        <v>364</v>
      </c>
    </row>
    <row r="59" ht="15.75" customHeight="1">
      <c r="A59" s="7" t="s">
        <v>256</v>
      </c>
      <c r="B59" s="7">
        <v>1048587.0</v>
      </c>
      <c r="C59" s="9">
        <v>44678.0</v>
      </c>
      <c r="D59" s="7">
        <v>10.0</v>
      </c>
      <c r="E59" s="7" t="s">
        <v>53</v>
      </c>
      <c r="F59" s="7" t="s">
        <v>110</v>
      </c>
      <c r="G59" s="7" t="s">
        <v>55</v>
      </c>
      <c r="H59" s="12" t="s">
        <v>860</v>
      </c>
      <c r="I59" s="12" t="s">
        <v>862</v>
      </c>
    </row>
    <row r="60" ht="15.75" customHeight="1">
      <c r="A60" s="7" t="s">
        <v>256</v>
      </c>
      <c r="B60" s="7">
        <v>306555.0</v>
      </c>
      <c r="C60" s="9">
        <v>44669.0</v>
      </c>
      <c r="D60" s="7">
        <v>1.0</v>
      </c>
      <c r="E60" s="7" t="s">
        <v>53</v>
      </c>
      <c r="F60" s="7" t="s">
        <v>110</v>
      </c>
      <c r="G60" s="7" t="s">
        <v>55</v>
      </c>
      <c r="H60" s="12" t="s">
        <v>865</v>
      </c>
      <c r="I60" s="12" t="s">
        <v>866</v>
      </c>
    </row>
    <row r="61" ht="15.75" customHeight="1">
      <c r="A61" s="7" t="s">
        <v>256</v>
      </c>
      <c r="B61" s="7">
        <v>524971.0</v>
      </c>
      <c r="C61" s="9">
        <v>44608.0</v>
      </c>
      <c r="D61" s="7">
        <v>5.0</v>
      </c>
      <c r="E61" s="7" t="s">
        <v>53</v>
      </c>
      <c r="F61" s="7" t="s">
        <v>66</v>
      </c>
      <c r="G61" s="7" t="s">
        <v>55</v>
      </c>
      <c r="H61" s="12" t="s">
        <v>869</v>
      </c>
      <c r="I61" s="12" t="s">
        <v>871</v>
      </c>
    </row>
    <row r="62" ht="15.75" customHeight="1">
      <c r="A62" s="7" t="s">
        <v>256</v>
      </c>
      <c r="B62" s="7">
        <v>237938.0</v>
      </c>
      <c r="C62" s="9">
        <v>44603.0</v>
      </c>
      <c r="D62" s="7">
        <v>2.0</v>
      </c>
      <c r="E62" s="7" t="s">
        <v>53</v>
      </c>
      <c r="F62" s="7" t="s">
        <v>66</v>
      </c>
      <c r="G62" s="7" t="s">
        <v>55</v>
      </c>
      <c r="H62" s="12" t="s">
        <v>877</v>
      </c>
      <c r="I62" s="12" t="s">
        <v>878</v>
      </c>
    </row>
    <row r="63" ht="15.75" customHeight="1">
      <c r="A63" s="7" t="s">
        <v>394</v>
      </c>
      <c r="B63" s="7">
        <v>2225335.0</v>
      </c>
      <c r="C63" s="9">
        <v>45650.0</v>
      </c>
      <c r="D63" s="7">
        <v>7.0</v>
      </c>
      <c r="E63" s="7" t="s">
        <v>82</v>
      </c>
      <c r="F63" s="7" t="s">
        <v>83</v>
      </c>
      <c r="G63" s="7" t="s">
        <v>55</v>
      </c>
      <c r="H63" s="12" t="s">
        <v>880</v>
      </c>
      <c r="I63" s="12" t="s">
        <v>306</v>
      </c>
    </row>
    <row r="64" ht="15.75" customHeight="1">
      <c r="A64" s="7" t="s">
        <v>394</v>
      </c>
      <c r="B64" s="7">
        <v>1715696.0</v>
      </c>
      <c r="C64" s="9">
        <v>45084.0</v>
      </c>
      <c r="D64" s="7">
        <v>2.0</v>
      </c>
      <c r="E64" s="7" t="s">
        <v>53</v>
      </c>
      <c r="F64" s="7" t="s">
        <v>66</v>
      </c>
      <c r="G64" s="7" t="s">
        <v>55</v>
      </c>
      <c r="H64" s="12" t="s">
        <v>884</v>
      </c>
      <c r="I64" s="12" t="s">
        <v>885</v>
      </c>
    </row>
    <row r="65" ht="15.75" customHeight="1">
      <c r="A65" s="7" t="s">
        <v>394</v>
      </c>
      <c r="B65" s="7">
        <v>1476967.0</v>
      </c>
      <c r="C65" s="9">
        <v>45026.0</v>
      </c>
      <c r="D65" s="7">
        <v>8.0</v>
      </c>
      <c r="E65" s="7" t="s">
        <v>53</v>
      </c>
      <c r="F65" s="7" t="s">
        <v>80</v>
      </c>
      <c r="G65" s="7" t="s">
        <v>55</v>
      </c>
      <c r="H65" s="12" t="s">
        <v>890</v>
      </c>
      <c r="I65" s="12" t="s">
        <v>891</v>
      </c>
    </row>
    <row r="66" ht="15.75" customHeight="1">
      <c r="A66" s="7" t="s">
        <v>394</v>
      </c>
      <c r="B66" s="7">
        <v>277060.0</v>
      </c>
      <c r="C66" s="9">
        <v>44967.0</v>
      </c>
      <c r="D66" s="7">
        <v>1.0</v>
      </c>
      <c r="E66" s="7" t="s">
        <v>53</v>
      </c>
      <c r="F66" s="7" t="s">
        <v>66</v>
      </c>
      <c r="G66" s="7" t="s">
        <v>55</v>
      </c>
      <c r="H66" s="12" t="s">
        <v>894</v>
      </c>
      <c r="I66" s="12" t="s">
        <v>895</v>
      </c>
    </row>
    <row r="67" ht="15.75" customHeight="1">
      <c r="A67" s="7" t="s">
        <v>394</v>
      </c>
      <c r="B67" s="7">
        <v>952364.0</v>
      </c>
      <c r="C67" s="9">
        <v>44781.0</v>
      </c>
      <c r="D67" s="7">
        <v>3.0</v>
      </c>
      <c r="E67" s="7" t="s">
        <v>53</v>
      </c>
      <c r="F67" s="7" t="s">
        <v>80</v>
      </c>
      <c r="G67" s="7" t="s">
        <v>55</v>
      </c>
      <c r="H67" s="12" t="s">
        <v>896</v>
      </c>
      <c r="I67" s="12" t="s">
        <v>897</v>
      </c>
    </row>
    <row r="68" ht="15.75" customHeight="1">
      <c r="A68" s="7" t="s">
        <v>394</v>
      </c>
      <c r="B68" s="7">
        <v>921904.0</v>
      </c>
      <c r="C68" s="9">
        <v>44698.0</v>
      </c>
      <c r="D68" s="7">
        <v>9.0</v>
      </c>
      <c r="E68" s="7" t="s">
        <v>53</v>
      </c>
      <c r="F68" s="7" t="s">
        <v>142</v>
      </c>
      <c r="G68" s="7" t="s">
        <v>55</v>
      </c>
      <c r="H68" s="12" t="s">
        <v>898</v>
      </c>
      <c r="I68" s="12" t="s">
        <v>899</v>
      </c>
    </row>
    <row r="69" ht="15.75" customHeight="1">
      <c r="A69" s="7" t="s">
        <v>394</v>
      </c>
      <c r="B69" s="7">
        <v>726076.0</v>
      </c>
      <c r="C69" s="9">
        <v>44669.0</v>
      </c>
      <c r="D69" s="7">
        <v>4.0</v>
      </c>
      <c r="E69" s="7" t="s">
        <v>53</v>
      </c>
      <c r="F69" s="7" t="s">
        <v>66</v>
      </c>
      <c r="G69" s="7" t="s">
        <v>55</v>
      </c>
      <c r="H69" s="12" t="s">
        <v>900</v>
      </c>
      <c r="I69" s="12" t="s">
        <v>901</v>
      </c>
    </row>
    <row r="70" ht="15.75" customHeight="1">
      <c r="A70" s="7" t="s">
        <v>394</v>
      </c>
      <c r="B70" s="7">
        <v>222151.0</v>
      </c>
      <c r="C70" s="9">
        <v>44663.0</v>
      </c>
      <c r="D70" s="7">
        <v>6.0</v>
      </c>
      <c r="E70" s="7" t="s">
        <v>53</v>
      </c>
      <c r="F70" s="7" t="s">
        <v>80</v>
      </c>
      <c r="G70" s="7" t="s">
        <v>55</v>
      </c>
      <c r="H70" s="12" t="s">
        <v>902</v>
      </c>
      <c r="I70" s="12" t="s">
        <v>603</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70"/>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1.0767743E7</v>
      </c>
      <c r="C2" s="9">
        <v>46223.0</v>
      </c>
      <c r="D2" s="7">
        <v>4.0</v>
      </c>
      <c r="E2" s="7" t="s">
        <v>100</v>
      </c>
      <c r="F2" s="7" t="s">
        <v>69</v>
      </c>
      <c r="G2" s="7" t="s">
        <v>55</v>
      </c>
      <c r="H2" s="12" t="s">
        <v>543</v>
      </c>
      <c r="I2" s="12" t="s">
        <v>544</v>
      </c>
    </row>
    <row r="3">
      <c r="A3" s="11" t="s">
        <v>49</v>
      </c>
      <c r="B3" s="7">
        <v>3374249.0</v>
      </c>
      <c r="C3" s="9">
        <v>46072.0</v>
      </c>
      <c r="D3" s="7">
        <v>7.0</v>
      </c>
      <c r="E3" s="7" t="s">
        <v>82</v>
      </c>
      <c r="F3" s="7" t="s">
        <v>142</v>
      </c>
      <c r="G3" s="7" t="s">
        <v>55</v>
      </c>
      <c r="H3" s="12" t="s">
        <v>548</v>
      </c>
      <c r="I3" s="12" t="s">
        <v>549</v>
      </c>
    </row>
    <row r="4">
      <c r="A4" s="11" t="s">
        <v>49</v>
      </c>
      <c r="B4" s="7">
        <v>6659778.0</v>
      </c>
      <c r="C4" s="9">
        <v>46006.0</v>
      </c>
      <c r="D4" s="7">
        <v>3.0</v>
      </c>
      <c r="E4" s="7" t="s">
        <v>79</v>
      </c>
      <c r="F4" s="7" t="s">
        <v>80</v>
      </c>
      <c r="G4" s="7" t="s">
        <v>55</v>
      </c>
      <c r="H4" s="12" t="s">
        <v>555</v>
      </c>
      <c r="I4" s="12" t="s">
        <v>558</v>
      </c>
    </row>
    <row r="5">
      <c r="A5" s="11" t="s">
        <v>49</v>
      </c>
      <c r="B5" s="7">
        <v>6764087.0</v>
      </c>
      <c r="C5" s="9">
        <v>45964.0</v>
      </c>
      <c r="D5" s="7">
        <v>3.0</v>
      </c>
      <c r="E5" s="7" t="s">
        <v>53</v>
      </c>
      <c r="F5" s="7" t="s">
        <v>66</v>
      </c>
      <c r="G5" s="7" t="s">
        <v>55</v>
      </c>
      <c r="H5" s="12" t="s">
        <v>560</v>
      </c>
      <c r="I5" s="12" t="s">
        <v>560</v>
      </c>
    </row>
    <row r="6">
      <c r="A6" s="11" t="s">
        <v>49</v>
      </c>
      <c r="B6" s="7">
        <v>3836964.0</v>
      </c>
      <c r="C6" s="9">
        <v>45884.0</v>
      </c>
      <c r="D6" s="7">
        <v>1.0</v>
      </c>
      <c r="E6" s="7" t="s">
        <v>53</v>
      </c>
      <c r="F6" s="7" t="s">
        <v>66</v>
      </c>
      <c r="G6" s="7" t="s">
        <v>55</v>
      </c>
      <c r="H6" s="12" t="s">
        <v>564</v>
      </c>
      <c r="I6" s="12" t="s">
        <v>565</v>
      </c>
    </row>
    <row r="7">
      <c r="A7" s="11" t="s">
        <v>49</v>
      </c>
      <c r="B7" s="7">
        <v>3207667.0</v>
      </c>
      <c r="C7" s="9">
        <v>45870.0</v>
      </c>
      <c r="D7" s="7">
        <v>7.0</v>
      </c>
      <c r="E7" s="7" t="s">
        <v>53</v>
      </c>
      <c r="F7" s="7" t="s">
        <v>66</v>
      </c>
      <c r="G7" s="7" t="s">
        <v>55</v>
      </c>
      <c r="H7" s="12" t="s">
        <v>566</v>
      </c>
      <c r="I7" s="12" t="s">
        <v>567</v>
      </c>
    </row>
    <row r="8">
      <c r="A8" s="11" t="s">
        <v>49</v>
      </c>
      <c r="B8" s="7">
        <v>2004685.0</v>
      </c>
      <c r="C8" s="9">
        <v>45601.0</v>
      </c>
      <c r="D8" s="7">
        <v>7.0</v>
      </c>
      <c r="E8" s="7" t="s">
        <v>53</v>
      </c>
      <c r="F8" s="7" t="s">
        <v>66</v>
      </c>
      <c r="G8" s="7" t="s">
        <v>55</v>
      </c>
      <c r="H8" s="12" t="s">
        <v>570</v>
      </c>
      <c r="I8" s="12" t="s">
        <v>571</v>
      </c>
    </row>
    <row r="9">
      <c r="A9" s="11" t="s">
        <v>49</v>
      </c>
      <c r="B9" s="7">
        <v>5041221.0</v>
      </c>
      <c r="C9" s="9">
        <v>45446.0</v>
      </c>
      <c r="D9" s="7">
        <v>6.0</v>
      </c>
      <c r="E9" s="7" t="s">
        <v>82</v>
      </c>
      <c r="F9" s="7" t="s">
        <v>80</v>
      </c>
      <c r="G9" s="7" t="s">
        <v>55</v>
      </c>
      <c r="H9" s="12" t="s">
        <v>577</v>
      </c>
      <c r="I9" s="12" t="s">
        <v>578</v>
      </c>
    </row>
    <row r="10">
      <c r="A10" s="11" t="s">
        <v>49</v>
      </c>
      <c r="B10" s="7">
        <v>4641609.0</v>
      </c>
      <c r="C10" s="9">
        <v>45436.0</v>
      </c>
      <c r="D10" s="7">
        <v>8.0</v>
      </c>
      <c r="E10" s="7" t="s">
        <v>53</v>
      </c>
      <c r="F10" s="7" t="s">
        <v>66</v>
      </c>
      <c r="G10" s="7" t="s">
        <v>55</v>
      </c>
      <c r="H10" s="12" t="s">
        <v>581</v>
      </c>
      <c r="I10" s="12" t="s">
        <v>584</v>
      </c>
    </row>
    <row r="11">
      <c r="A11" s="11" t="s">
        <v>49</v>
      </c>
      <c r="B11" s="7">
        <v>1722574.0</v>
      </c>
      <c r="C11" s="9">
        <v>45413.0</v>
      </c>
      <c r="D11" s="7">
        <v>8.0</v>
      </c>
      <c r="E11" s="7" t="s">
        <v>53</v>
      </c>
      <c r="F11" s="7" t="s">
        <v>66</v>
      </c>
      <c r="G11" s="7" t="s">
        <v>55</v>
      </c>
      <c r="H11" s="12" t="s">
        <v>585</v>
      </c>
      <c r="I11" s="12" t="s">
        <v>328</v>
      </c>
    </row>
    <row r="12">
      <c r="A12" s="11" t="s">
        <v>49</v>
      </c>
      <c r="B12" s="7">
        <v>2438639.0</v>
      </c>
      <c r="C12" s="9">
        <v>45034.0</v>
      </c>
      <c r="D12" s="7">
        <v>7.0</v>
      </c>
      <c r="E12" s="7" t="s">
        <v>79</v>
      </c>
      <c r="F12" s="7" t="s">
        <v>142</v>
      </c>
      <c r="G12" s="7" t="s">
        <v>55</v>
      </c>
      <c r="H12" s="12" t="s">
        <v>587</v>
      </c>
      <c r="I12" s="12" t="s">
        <v>588</v>
      </c>
    </row>
    <row r="13">
      <c r="A13" s="11" t="s">
        <v>49</v>
      </c>
      <c r="B13" s="7">
        <v>235355.0</v>
      </c>
      <c r="C13" s="9">
        <v>44904.0</v>
      </c>
      <c r="D13" s="7">
        <v>1.0</v>
      </c>
      <c r="E13" s="7" t="s">
        <v>53</v>
      </c>
      <c r="F13" s="7" t="s">
        <v>66</v>
      </c>
      <c r="G13" s="7" t="s">
        <v>55</v>
      </c>
      <c r="H13" s="12" t="s">
        <v>592</v>
      </c>
      <c r="I13" s="12" t="s">
        <v>593</v>
      </c>
    </row>
    <row r="14">
      <c r="A14" s="11" t="s">
        <v>49</v>
      </c>
      <c r="B14" s="7">
        <v>168521.0</v>
      </c>
      <c r="C14" s="9">
        <v>44701.0</v>
      </c>
      <c r="D14" s="7">
        <v>1.0</v>
      </c>
      <c r="E14" s="7" t="s">
        <v>79</v>
      </c>
      <c r="F14" s="7" t="s">
        <v>124</v>
      </c>
      <c r="G14" s="7" t="s">
        <v>55</v>
      </c>
      <c r="H14" s="12" t="s">
        <v>595</v>
      </c>
      <c r="I14" s="12" t="s">
        <v>597</v>
      </c>
    </row>
    <row r="15">
      <c r="A15" s="11" t="s">
        <v>49</v>
      </c>
      <c r="B15" s="7">
        <v>262261.0</v>
      </c>
      <c r="C15" s="9">
        <v>44694.0</v>
      </c>
      <c r="D15" s="7">
        <v>8.0</v>
      </c>
      <c r="E15" s="7" t="s">
        <v>79</v>
      </c>
      <c r="F15" s="7" t="s">
        <v>124</v>
      </c>
      <c r="G15" s="7" t="s">
        <v>55</v>
      </c>
      <c r="H15" s="12" t="s">
        <v>599</v>
      </c>
      <c r="I15" s="12" t="s">
        <v>601</v>
      </c>
    </row>
    <row r="16">
      <c r="A16" s="11" t="s">
        <v>49</v>
      </c>
      <c r="B16" s="7">
        <v>222151.0</v>
      </c>
      <c r="C16" s="9">
        <v>44663.0</v>
      </c>
      <c r="D16" s="7">
        <v>6.0</v>
      </c>
      <c r="E16" s="7" t="s">
        <v>53</v>
      </c>
      <c r="F16" s="7" t="s">
        <v>80</v>
      </c>
      <c r="G16" s="7" t="s">
        <v>55</v>
      </c>
      <c r="H16" s="12" t="s">
        <v>602</v>
      </c>
      <c r="I16" s="12" t="s">
        <v>603</v>
      </c>
    </row>
    <row r="17">
      <c r="A17" s="11" t="s">
        <v>49</v>
      </c>
      <c r="B17" s="7">
        <v>310833.0</v>
      </c>
      <c r="C17" s="9">
        <v>44560.0</v>
      </c>
      <c r="D17" s="7">
        <v>4.0</v>
      </c>
      <c r="E17" s="7" t="s">
        <v>53</v>
      </c>
      <c r="F17" s="7" t="s">
        <v>66</v>
      </c>
      <c r="G17" s="7" t="s">
        <v>55</v>
      </c>
      <c r="H17" s="12" t="s">
        <v>604</v>
      </c>
      <c r="I17" s="12" t="s">
        <v>606</v>
      </c>
    </row>
    <row r="18">
      <c r="A18" s="7" t="s">
        <v>256</v>
      </c>
      <c r="B18" s="7">
        <v>1.02324E7</v>
      </c>
      <c r="C18" s="9">
        <v>46197.0</v>
      </c>
      <c r="D18" s="7">
        <v>1.0</v>
      </c>
      <c r="E18" s="7" t="s">
        <v>53</v>
      </c>
      <c r="F18" s="7" t="s">
        <v>69</v>
      </c>
      <c r="G18" s="7" t="s">
        <v>55</v>
      </c>
      <c r="H18" s="12" t="s">
        <v>609</v>
      </c>
      <c r="I18" s="12" t="s">
        <v>610</v>
      </c>
    </row>
    <row r="19">
      <c r="A19" s="7" t="s">
        <v>256</v>
      </c>
      <c r="B19" s="7">
        <v>9381125.0</v>
      </c>
      <c r="C19" s="9">
        <v>46182.0</v>
      </c>
      <c r="D19" s="7">
        <v>6.0</v>
      </c>
      <c r="E19" s="7" t="s">
        <v>53</v>
      </c>
      <c r="F19" s="7" t="s">
        <v>272</v>
      </c>
      <c r="G19" s="7" t="s">
        <v>55</v>
      </c>
      <c r="H19" s="12" t="s">
        <v>612</v>
      </c>
      <c r="I19" s="12" t="s">
        <v>613</v>
      </c>
    </row>
    <row r="20">
      <c r="A20" s="7" t="s">
        <v>256</v>
      </c>
      <c r="B20" s="7">
        <v>2180678.0</v>
      </c>
      <c r="C20" s="9">
        <v>46181.0</v>
      </c>
      <c r="D20" s="7">
        <v>8.0</v>
      </c>
      <c r="E20" s="7" t="s">
        <v>53</v>
      </c>
      <c r="F20" s="7" t="s">
        <v>66</v>
      </c>
      <c r="G20" s="7" t="s">
        <v>55</v>
      </c>
      <c r="H20" s="12" t="s">
        <v>614</v>
      </c>
      <c r="I20" s="12" t="s">
        <v>616</v>
      </c>
    </row>
    <row r="21" ht="15.75" customHeight="1">
      <c r="A21" s="7" t="s">
        <v>256</v>
      </c>
      <c r="B21" s="7">
        <v>9235848.0</v>
      </c>
      <c r="C21" s="9">
        <v>46148.0</v>
      </c>
      <c r="D21" s="7">
        <v>1.0</v>
      </c>
      <c r="E21" s="7" t="s">
        <v>79</v>
      </c>
      <c r="F21" s="7" t="s">
        <v>80</v>
      </c>
      <c r="G21" s="7" t="s">
        <v>55</v>
      </c>
      <c r="H21" s="12" t="s">
        <v>619</v>
      </c>
      <c r="I21" s="12" t="s">
        <v>620</v>
      </c>
    </row>
    <row r="22" ht="15.75" customHeight="1">
      <c r="A22" s="7" t="s">
        <v>256</v>
      </c>
      <c r="B22" s="7">
        <v>9166325.0</v>
      </c>
      <c r="C22" s="9">
        <v>46146.0</v>
      </c>
      <c r="D22" s="7">
        <v>1.0</v>
      </c>
      <c r="E22" s="7" t="s">
        <v>53</v>
      </c>
      <c r="F22" s="7" t="s">
        <v>69</v>
      </c>
      <c r="G22" s="7" t="s">
        <v>55</v>
      </c>
      <c r="H22" s="12" t="s">
        <v>623</v>
      </c>
      <c r="I22" s="12" t="s">
        <v>118</v>
      </c>
    </row>
    <row r="23" ht="15.75" customHeight="1">
      <c r="A23" s="7" t="s">
        <v>256</v>
      </c>
      <c r="B23" s="7">
        <v>8549008.0</v>
      </c>
      <c r="C23" s="9">
        <v>46124.0</v>
      </c>
      <c r="D23" s="7">
        <v>7.0</v>
      </c>
      <c r="E23" s="7" t="s">
        <v>53</v>
      </c>
      <c r="F23" s="7" t="s">
        <v>66</v>
      </c>
      <c r="G23" s="7" t="s">
        <v>55</v>
      </c>
      <c r="H23" s="12" t="s">
        <v>625</v>
      </c>
      <c r="I23" s="12" t="s">
        <v>626</v>
      </c>
    </row>
    <row r="24" ht="15.75" customHeight="1">
      <c r="A24" s="7" t="s">
        <v>256</v>
      </c>
      <c r="B24" s="7">
        <v>7969891.0</v>
      </c>
      <c r="C24" s="9">
        <v>46120.0</v>
      </c>
      <c r="D24" s="7">
        <v>10.0</v>
      </c>
      <c r="E24" s="7" t="s">
        <v>53</v>
      </c>
      <c r="F24" s="7" t="s">
        <v>88</v>
      </c>
      <c r="G24" s="7" t="s">
        <v>55</v>
      </c>
      <c r="H24" s="12" t="s">
        <v>629</v>
      </c>
      <c r="I24" s="12" t="s">
        <v>630</v>
      </c>
    </row>
    <row r="25" ht="15.75" customHeight="1">
      <c r="A25" s="7" t="s">
        <v>256</v>
      </c>
      <c r="B25" s="7">
        <v>6784354.0</v>
      </c>
      <c r="C25" s="9">
        <v>45949.0</v>
      </c>
      <c r="D25" s="7">
        <v>3.0</v>
      </c>
      <c r="E25" s="7" t="s">
        <v>79</v>
      </c>
      <c r="F25" s="7" t="s">
        <v>80</v>
      </c>
      <c r="G25" s="7" t="s">
        <v>55</v>
      </c>
      <c r="H25" s="12" t="s">
        <v>633</v>
      </c>
      <c r="I25" s="12" t="s">
        <v>635</v>
      </c>
    </row>
    <row r="26" ht="15.75" customHeight="1">
      <c r="A26" s="7" t="s">
        <v>256</v>
      </c>
      <c r="B26" s="7">
        <v>5912330.0</v>
      </c>
      <c r="C26" s="9">
        <v>45891.0</v>
      </c>
      <c r="D26" s="7">
        <v>10.0</v>
      </c>
      <c r="E26" s="7" t="s">
        <v>82</v>
      </c>
      <c r="F26" s="7" t="s">
        <v>80</v>
      </c>
      <c r="G26" s="7" t="s">
        <v>55</v>
      </c>
      <c r="H26" s="12" t="s">
        <v>636</v>
      </c>
      <c r="I26" s="12" t="s">
        <v>637</v>
      </c>
    </row>
    <row r="27" ht="15.75" customHeight="1">
      <c r="A27" s="7" t="s">
        <v>256</v>
      </c>
      <c r="B27" s="7">
        <v>4122872.0</v>
      </c>
      <c r="C27" s="9">
        <v>45820.0</v>
      </c>
      <c r="D27" s="7">
        <v>6.0</v>
      </c>
      <c r="E27" s="7" t="s">
        <v>79</v>
      </c>
      <c r="F27" s="7" t="s">
        <v>80</v>
      </c>
      <c r="G27" s="7" t="s">
        <v>55</v>
      </c>
      <c r="H27" s="12" t="s">
        <v>641</v>
      </c>
      <c r="I27" s="12" t="s">
        <v>288</v>
      </c>
    </row>
    <row r="28" ht="15.75" customHeight="1">
      <c r="A28" s="7" t="s">
        <v>256</v>
      </c>
      <c r="B28" s="7">
        <v>1857439.0</v>
      </c>
      <c r="C28" s="9">
        <v>45789.0</v>
      </c>
      <c r="D28" s="7">
        <v>2.0</v>
      </c>
      <c r="E28" s="7" t="s">
        <v>53</v>
      </c>
      <c r="F28" s="7" t="s">
        <v>66</v>
      </c>
      <c r="G28" s="7" t="s">
        <v>55</v>
      </c>
      <c r="H28" s="12" t="s">
        <v>643</v>
      </c>
      <c r="I28" s="12" t="s">
        <v>645</v>
      </c>
    </row>
    <row r="29" ht="15.75" customHeight="1">
      <c r="A29" s="7" t="s">
        <v>256</v>
      </c>
      <c r="B29" s="7">
        <v>6481236.0</v>
      </c>
      <c r="C29" s="9">
        <v>45762.0</v>
      </c>
      <c r="D29" s="7">
        <v>10.0</v>
      </c>
      <c r="E29" s="7" t="s">
        <v>82</v>
      </c>
      <c r="F29" s="7" t="s">
        <v>647</v>
      </c>
      <c r="G29" s="7" t="s">
        <v>55</v>
      </c>
      <c r="H29" s="12" t="s">
        <v>649</v>
      </c>
      <c r="I29" s="12" t="s">
        <v>650</v>
      </c>
    </row>
    <row r="30" ht="15.75" customHeight="1">
      <c r="A30" s="7" t="s">
        <v>256</v>
      </c>
      <c r="B30" s="7">
        <v>6313076.0</v>
      </c>
      <c r="C30" s="9">
        <v>45715.0</v>
      </c>
      <c r="D30" s="7">
        <v>1.0</v>
      </c>
      <c r="E30" s="7" t="s">
        <v>82</v>
      </c>
      <c r="F30" s="7" t="s">
        <v>73</v>
      </c>
      <c r="G30" s="7" t="s">
        <v>55</v>
      </c>
      <c r="H30" s="12" t="s">
        <v>653</v>
      </c>
      <c r="I30" s="12" t="s">
        <v>653</v>
      </c>
    </row>
    <row r="31" ht="15.75" customHeight="1">
      <c r="A31" s="7" t="s">
        <v>256</v>
      </c>
      <c r="B31" s="7">
        <v>4460025.0</v>
      </c>
      <c r="C31" s="9">
        <v>45680.0</v>
      </c>
      <c r="D31" s="7">
        <v>1.0</v>
      </c>
      <c r="E31" s="7" t="s">
        <v>53</v>
      </c>
      <c r="F31" s="7" t="s">
        <v>66</v>
      </c>
      <c r="G31" s="7" t="s">
        <v>55</v>
      </c>
      <c r="H31" s="12" t="s">
        <v>660</v>
      </c>
      <c r="I31" s="12" t="s">
        <v>300</v>
      </c>
    </row>
    <row r="32" ht="15.75" customHeight="1">
      <c r="A32" s="7" t="s">
        <v>256</v>
      </c>
      <c r="B32" s="7">
        <v>4742670.0</v>
      </c>
      <c r="C32" s="9">
        <v>45671.0</v>
      </c>
      <c r="D32" s="7">
        <v>10.0</v>
      </c>
      <c r="E32" s="7" t="s">
        <v>53</v>
      </c>
      <c r="F32" s="7" t="s">
        <v>662</v>
      </c>
      <c r="G32" s="7" t="s">
        <v>55</v>
      </c>
      <c r="H32" s="12" t="s">
        <v>664</v>
      </c>
      <c r="I32" s="12" t="s">
        <v>665</v>
      </c>
    </row>
    <row r="33" ht="15.75" customHeight="1">
      <c r="A33" s="7" t="s">
        <v>256</v>
      </c>
      <c r="B33" s="7">
        <v>2004685.0</v>
      </c>
      <c r="C33" s="9">
        <v>45510.0</v>
      </c>
      <c r="D33" s="7">
        <v>7.0</v>
      </c>
      <c r="E33" s="7" t="s">
        <v>53</v>
      </c>
      <c r="F33" s="7" t="s">
        <v>66</v>
      </c>
      <c r="G33" s="7" t="s">
        <v>55</v>
      </c>
      <c r="H33" s="12" t="s">
        <v>668</v>
      </c>
      <c r="I33" s="12" t="s">
        <v>669</v>
      </c>
    </row>
    <row r="34" ht="15.75" customHeight="1">
      <c r="A34" s="7" t="s">
        <v>256</v>
      </c>
      <c r="B34" s="7">
        <v>2529072.0</v>
      </c>
      <c r="C34" s="9">
        <v>45359.0</v>
      </c>
      <c r="D34" s="7">
        <v>7.0</v>
      </c>
      <c r="E34" s="7" t="s">
        <v>53</v>
      </c>
      <c r="F34" s="7" t="s">
        <v>80</v>
      </c>
      <c r="G34" s="7" t="s">
        <v>55</v>
      </c>
      <c r="H34" s="12" t="s">
        <v>674</v>
      </c>
      <c r="I34" s="12" t="s">
        <v>676</v>
      </c>
    </row>
    <row r="35" ht="15.75" customHeight="1">
      <c r="A35" s="7" t="s">
        <v>256</v>
      </c>
      <c r="B35" s="7">
        <v>1158626.0</v>
      </c>
      <c r="C35" s="9">
        <v>45316.0</v>
      </c>
      <c r="D35" s="7">
        <v>1.0</v>
      </c>
      <c r="E35" s="7" t="s">
        <v>53</v>
      </c>
      <c r="F35" s="7" t="s">
        <v>66</v>
      </c>
      <c r="G35" s="7" t="s">
        <v>55</v>
      </c>
      <c r="H35" s="12" t="s">
        <v>679</v>
      </c>
      <c r="I35" s="12" t="s">
        <v>681</v>
      </c>
    </row>
    <row r="36" ht="15.75" customHeight="1">
      <c r="A36" s="7" t="s">
        <v>256</v>
      </c>
      <c r="B36" s="7">
        <v>1333863.0</v>
      </c>
      <c r="C36" s="9">
        <v>45308.0</v>
      </c>
      <c r="D36" s="7">
        <v>5.0</v>
      </c>
      <c r="E36" s="7" t="s">
        <v>79</v>
      </c>
      <c r="F36" s="7" t="s">
        <v>357</v>
      </c>
      <c r="G36" s="7" t="s">
        <v>55</v>
      </c>
      <c r="H36" s="12" t="s">
        <v>683</v>
      </c>
      <c r="I36" s="12" t="s">
        <v>685</v>
      </c>
    </row>
    <row r="37" ht="15.75" customHeight="1">
      <c r="A37" s="7" t="s">
        <v>256</v>
      </c>
      <c r="B37" s="7">
        <v>393193.0</v>
      </c>
      <c r="C37" s="9">
        <v>45225.0</v>
      </c>
      <c r="D37" s="7">
        <v>5.0</v>
      </c>
      <c r="E37" s="7" t="s">
        <v>53</v>
      </c>
      <c r="F37" s="7" t="s">
        <v>66</v>
      </c>
      <c r="G37" s="7" t="s">
        <v>55</v>
      </c>
      <c r="H37" s="12" t="s">
        <v>686</v>
      </c>
      <c r="I37" s="12" t="s">
        <v>687</v>
      </c>
    </row>
    <row r="38" ht="15.75" customHeight="1">
      <c r="A38" s="7" t="s">
        <v>256</v>
      </c>
      <c r="B38" s="7">
        <v>2090578.0</v>
      </c>
      <c r="C38" s="9">
        <v>45184.0</v>
      </c>
      <c r="D38" s="7">
        <v>3.0</v>
      </c>
      <c r="E38" s="7" t="s">
        <v>53</v>
      </c>
      <c r="F38" s="7" t="s">
        <v>655</v>
      </c>
      <c r="G38" s="7" t="s">
        <v>55</v>
      </c>
      <c r="H38" s="12" t="s">
        <v>691</v>
      </c>
      <c r="I38" s="12" t="s">
        <v>692</v>
      </c>
    </row>
    <row r="39" ht="15.75" customHeight="1">
      <c r="A39" s="7" t="s">
        <v>256</v>
      </c>
      <c r="B39" s="7">
        <v>377621.0</v>
      </c>
      <c r="C39" s="9">
        <v>45180.0</v>
      </c>
      <c r="D39" s="7">
        <v>6.0</v>
      </c>
      <c r="E39" s="7" t="s">
        <v>53</v>
      </c>
      <c r="F39" s="7" t="s">
        <v>110</v>
      </c>
      <c r="G39" s="7" t="s">
        <v>55</v>
      </c>
      <c r="H39" s="12" t="s">
        <v>694</v>
      </c>
      <c r="I39" s="12" t="s">
        <v>695</v>
      </c>
    </row>
    <row r="40" ht="15.75" customHeight="1">
      <c r="A40" s="7" t="s">
        <v>256</v>
      </c>
      <c r="B40" s="7">
        <v>1526359.0</v>
      </c>
      <c r="C40" s="9">
        <v>45019.0</v>
      </c>
      <c r="D40" s="7">
        <v>5.0</v>
      </c>
      <c r="E40" s="7" t="s">
        <v>53</v>
      </c>
      <c r="F40" s="7" t="s">
        <v>80</v>
      </c>
      <c r="G40" s="7" t="s">
        <v>55</v>
      </c>
      <c r="H40" s="12" t="s">
        <v>698</v>
      </c>
      <c r="I40" s="12" t="s">
        <v>700</v>
      </c>
    </row>
    <row r="41" ht="15.75" customHeight="1">
      <c r="A41" s="7" t="s">
        <v>256</v>
      </c>
      <c r="B41" s="7">
        <v>1736352.0</v>
      </c>
      <c r="C41" s="9">
        <v>44953.0</v>
      </c>
      <c r="D41" s="7">
        <v>8.0</v>
      </c>
      <c r="E41" s="7" t="s">
        <v>53</v>
      </c>
      <c r="F41" s="7" t="s">
        <v>142</v>
      </c>
      <c r="G41" s="7" t="s">
        <v>55</v>
      </c>
      <c r="H41" s="12" t="s">
        <v>701</v>
      </c>
      <c r="I41" s="12" t="s">
        <v>702</v>
      </c>
    </row>
    <row r="42" ht="15.75" customHeight="1">
      <c r="A42" s="7" t="s">
        <v>256</v>
      </c>
      <c r="B42" s="7">
        <v>1195343.0</v>
      </c>
      <c r="C42" s="9">
        <v>44942.0</v>
      </c>
      <c r="D42" s="7">
        <v>6.0</v>
      </c>
      <c r="E42" s="7" t="s">
        <v>53</v>
      </c>
      <c r="F42" s="7" t="s">
        <v>119</v>
      </c>
      <c r="G42" s="7" t="s">
        <v>55</v>
      </c>
      <c r="H42" s="12" t="s">
        <v>707</v>
      </c>
      <c r="I42" s="12" t="s">
        <v>708</v>
      </c>
    </row>
    <row r="43" ht="15.75" customHeight="1">
      <c r="A43" s="7" t="s">
        <v>256</v>
      </c>
      <c r="B43" s="7">
        <v>2071821.0</v>
      </c>
      <c r="C43" s="9">
        <v>44932.0</v>
      </c>
      <c r="D43" s="7">
        <v>6.0</v>
      </c>
      <c r="E43" s="7" t="s">
        <v>53</v>
      </c>
      <c r="F43" s="7" t="s">
        <v>525</v>
      </c>
      <c r="G43" s="7" t="s">
        <v>55</v>
      </c>
      <c r="H43" s="12" t="s">
        <v>711</v>
      </c>
      <c r="I43" s="12" t="s">
        <v>712</v>
      </c>
    </row>
    <row r="44" ht="15.75" customHeight="1">
      <c r="A44" s="7" t="s">
        <v>256</v>
      </c>
      <c r="B44" s="7">
        <v>697377.0</v>
      </c>
      <c r="C44" s="9">
        <v>44832.0</v>
      </c>
      <c r="D44" s="7">
        <v>2.0</v>
      </c>
      <c r="E44" s="7" t="s">
        <v>53</v>
      </c>
      <c r="F44" s="7" t="s">
        <v>66</v>
      </c>
      <c r="G44" s="7" t="s">
        <v>55</v>
      </c>
      <c r="H44" s="12" t="s">
        <v>716</v>
      </c>
      <c r="I44" s="12" t="s">
        <v>717</v>
      </c>
    </row>
    <row r="45" ht="15.75" customHeight="1">
      <c r="A45" s="7" t="s">
        <v>256</v>
      </c>
      <c r="B45" s="7">
        <v>828585.0</v>
      </c>
      <c r="C45" s="9">
        <v>44799.0</v>
      </c>
      <c r="D45" s="7">
        <v>2.0</v>
      </c>
      <c r="E45" s="7" t="s">
        <v>53</v>
      </c>
      <c r="F45" s="7" t="s">
        <v>66</v>
      </c>
      <c r="G45" s="7" t="s">
        <v>55</v>
      </c>
      <c r="H45" s="12" t="s">
        <v>721</v>
      </c>
      <c r="I45" s="12" t="s">
        <v>722</v>
      </c>
    </row>
    <row r="46" ht="15.75" customHeight="1">
      <c r="A46" s="7" t="s">
        <v>256</v>
      </c>
      <c r="B46" s="7">
        <v>277060.0</v>
      </c>
      <c r="C46" s="9">
        <v>44787.0</v>
      </c>
      <c r="D46" s="7">
        <v>1.0</v>
      </c>
      <c r="E46" s="7" t="s">
        <v>53</v>
      </c>
      <c r="F46" s="7" t="s">
        <v>66</v>
      </c>
      <c r="G46" s="7" t="s">
        <v>55</v>
      </c>
      <c r="H46" s="12" t="s">
        <v>724</v>
      </c>
      <c r="I46" s="12" t="s">
        <v>726</v>
      </c>
    </row>
    <row r="47" ht="15.75" customHeight="1">
      <c r="A47" s="7" t="s">
        <v>256</v>
      </c>
      <c r="B47" s="7">
        <v>964524.0</v>
      </c>
      <c r="C47" s="9">
        <v>44767.0</v>
      </c>
      <c r="D47" s="7">
        <v>7.0</v>
      </c>
      <c r="E47" s="7" t="s">
        <v>82</v>
      </c>
      <c r="F47" s="7" t="s">
        <v>110</v>
      </c>
      <c r="G47" s="7" t="s">
        <v>55</v>
      </c>
      <c r="H47" s="12" t="s">
        <v>729</v>
      </c>
      <c r="I47" s="12" t="s">
        <v>730</v>
      </c>
    </row>
    <row r="48" ht="15.75" customHeight="1">
      <c r="A48" s="7" t="s">
        <v>256</v>
      </c>
      <c r="B48" s="7">
        <v>303187.0</v>
      </c>
      <c r="C48" s="9">
        <v>44767.0</v>
      </c>
      <c r="D48" s="7">
        <v>7.0</v>
      </c>
      <c r="E48" s="7" t="s">
        <v>53</v>
      </c>
      <c r="F48" s="7" t="s">
        <v>80</v>
      </c>
      <c r="G48" s="7" t="s">
        <v>55</v>
      </c>
      <c r="H48" s="12" t="s">
        <v>733</v>
      </c>
      <c r="I48" s="12" t="s">
        <v>734</v>
      </c>
    </row>
    <row r="49" ht="15.75" customHeight="1">
      <c r="A49" s="7" t="s">
        <v>256</v>
      </c>
      <c r="B49" s="7">
        <v>974825.0</v>
      </c>
      <c r="C49" s="9">
        <v>44767.0</v>
      </c>
      <c r="D49" s="7">
        <v>1.0</v>
      </c>
      <c r="E49" s="7" t="s">
        <v>53</v>
      </c>
      <c r="F49" s="7" t="s">
        <v>110</v>
      </c>
      <c r="G49" s="7" t="s">
        <v>55</v>
      </c>
      <c r="H49" s="12" t="s">
        <v>737</v>
      </c>
      <c r="I49" s="12" t="s">
        <v>738</v>
      </c>
    </row>
    <row r="50" ht="15.75" customHeight="1">
      <c r="A50" s="7" t="s">
        <v>256</v>
      </c>
      <c r="B50" s="7">
        <v>1147251.0</v>
      </c>
      <c r="C50" s="9">
        <v>44754.0</v>
      </c>
      <c r="D50" s="7">
        <v>8.0</v>
      </c>
      <c r="E50" s="7" t="s">
        <v>53</v>
      </c>
      <c r="F50" s="7" t="s">
        <v>142</v>
      </c>
      <c r="G50" s="7" t="s">
        <v>55</v>
      </c>
      <c r="H50" s="12" t="s">
        <v>742</v>
      </c>
      <c r="I50" s="12" t="s">
        <v>743</v>
      </c>
    </row>
    <row r="51" ht="15.75" customHeight="1">
      <c r="A51" s="7" t="s">
        <v>256</v>
      </c>
      <c r="B51" s="7">
        <v>277060.0</v>
      </c>
      <c r="C51" s="9">
        <v>44742.0</v>
      </c>
      <c r="D51" s="7">
        <v>1.0</v>
      </c>
      <c r="E51" s="7" t="s">
        <v>53</v>
      </c>
      <c r="F51" s="7" t="s">
        <v>66</v>
      </c>
      <c r="G51" s="7" t="s">
        <v>55</v>
      </c>
      <c r="H51" s="12" t="s">
        <v>744</v>
      </c>
      <c r="I51" s="12" t="s">
        <v>745</v>
      </c>
    </row>
    <row r="52" ht="15.75" customHeight="1">
      <c r="A52" s="7" t="s">
        <v>256</v>
      </c>
      <c r="B52" s="7">
        <v>435467.0</v>
      </c>
      <c r="C52" s="9">
        <v>44673.0</v>
      </c>
      <c r="D52" s="7">
        <v>6.0</v>
      </c>
      <c r="E52" s="7" t="s">
        <v>53</v>
      </c>
      <c r="F52" s="7" t="s">
        <v>66</v>
      </c>
      <c r="G52" s="7" t="s">
        <v>55</v>
      </c>
      <c r="H52" s="12" t="s">
        <v>748</v>
      </c>
      <c r="I52" s="12" t="s">
        <v>749</v>
      </c>
    </row>
    <row r="53" ht="15.75" customHeight="1">
      <c r="A53" s="7" t="s">
        <v>256</v>
      </c>
      <c r="B53" s="7">
        <v>827300.0</v>
      </c>
      <c r="C53" s="9">
        <v>44671.0</v>
      </c>
      <c r="D53" s="7">
        <v>4.0</v>
      </c>
      <c r="E53" s="7" t="s">
        <v>79</v>
      </c>
      <c r="F53" s="7" t="s">
        <v>80</v>
      </c>
      <c r="G53" s="7" t="s">
        <v>55</v>
      </c>
      <c r="H53" s="12" t="s">
        <v>753</v>
      </c>
      <c r="I53" s="12" t="s">
        <v>754</v>
      </c>
    </row>
    <row r="54" ht="15.75" customHeight="1">
      <c r="A54" s="7" t="s">
        <v>256</v>
      </c>
      <c r="B54" s="7">
        <v>680816.0</v>
      </c>
      <c r="C54" s="9">
        <v>44651.0</v>
      </c>
      <c r="D54" s="7">
        <v>1.0</v>
      </c>
      <c r="E54" s="7" t="s">
        <v>82</v>
      </c>
      <c r="F54" s="7" t="s">
        <v>110</v>
      </c>
      <c r="G54" s="7" t="s">
        <v>55</v>
      </c>
      <c r="H54" s="12" t="s">
        <v>758</v>
      </c>
      <c r="I54" s="12" t="s">
        <v>372</v>
      </c>
    </row>
    <row r="55" ht="15.75" customHeight="1">
      <c r="A55" s="7" t="s">
        <v>256</v>
      </c>
      <c r="B55" s="7">
        <v>277060.0</v>
      </c>
      <c r="C55" s="9">
        <v>44518.0</v>
      </c>
      <c r="D55" s="7">
        <v>1.0</v>
      </c>
      <c r="E55" s="7" t="s">
        <v>53</v>
      </c>
      <c r="F55" s="7" t="s">
        <v>66</v>
      </c>
      <c r="G55" s="7" t="s">
        <v>55</v>
      </c>
      <c r="H55" s="12" t="s">
        <v>761</v>
      </c>
      <c r="I55" s="12" t="s">
        <v>763</v>
      </c>
    </row>
    <row r="56" ht="15.75" customHeight="1">
      <c r="A56" s="7" t="s">
        <v>256</v>
      </c>
      <c r="B56" s="7">
        <v>365557.0</v>
      </c>
      <c r="C56" s="9">
        <v>44510.0</v>
      </c>
      <c r="D56" s="7">
        <v>7.0</v>
      </c>
      <c r="E56" s="7" t="s">
        <v>53</v>
      </c>
      <c r="F56" s="7" t="s">
        <v>66</v>
      </c>
      <c r="G56" s="7" t="s">
        <v>55</v>
      </c>
      <c r="H56" s="12" t="s">
        <v>765</v>
      </c>
      <c r="I56" s="12" t="s">
        <v>766</v>
      </c>
    </row>
    <row r="57" ht="15.75" customHeight="1">
      <c r="A57" s="7" t="s">
        <v>256</v>
      </c>
      <c r="B57" s="7">
        <v>440614.0</v>
      </c>
      <c r="C57" s="9">
        <v>44484.0</v>
      </c>
      <c r="D57" s="7">
        <v>5.0</v>
      </c>
      <c r="E57" s="7" t="s">
        <v>53</v>
      </c>
      <c r="F57" s="7" t="s">
        <v>66</v>
      </c>
      <c r="G57" s="7" t="s">
        <v>55</v>
      </c>
      <c r="H57" s="12" t="s">
        <v>770</v>
      </c>
      <c r="I57" s="12" t="s">
        <v>772</v>
      </c>
    </row>
    <row r="58" ht="15.75" customHeight="1">
      <c r="A58" s="7" t="s">
        <v>256</v>
      </c>
      <c r="B58" s="7">
        <v>473358.0</v>
      </c>
      <c r="C58" s="9">
        <v>44474.0</v>
      </c>
      <c r="D58" s="7">
        <v>6.0</v>
      </c>
      <c r="E58" s="7" t="s">
        <v>53</v>
      </c>
      <c r="F58" s="7" t="s">
        <v>66</v>
      </c>
      <c r="G58" s="7" t="s">
        <v>55</v>
      </c>
      <c r="H58" s="12" t="s">
        <v>775</v>
      </c>
      <c r="I58" s="12" t="s">
        <v>776</v>
      </c>
    </row>
    <row r="59" ht="15.75" customHeight="1">
      <c r="A59" s="7" t="s">
        <v>256</v>
      </c>
      <c r="B59" s="7">
        <v>277060.0</v>
      </c>
      <c r="C59" s="9">
        <v>44427.0</v>
      </c>
      <c r="D59" s="7">
        <v>1.0</v>
      </c>
      <c r="E59" s="7" t="s">
        <v>53</v>
      </c>
      <c r="F59" s="7" t="s">
        <v>66</v>
      </c>
      <c r="G59" s="7" t="s">
        <v>55</v>
      </c>
      <c r="H59" s="12" t="s">
        <v>778</v>
      </c>
      <c r="I59" s="12" t="s">
        <v>779</v>
      </c>
    </row>
    <row r="60" ht="15.75" customHeight="1">
      <c r="A60" s="7" t="s">
        <v>256</v>
      </c>
      <c r="B60" s="7">
        <v>283949.0</v>
      </c>
      <c r="C60" s="9">
        <v>44393.0</v>
      </c>
      <c r="D60" s="7">
        <v>5.0</v>
      </c>
      <c r="E60" s="7" t="s">
        <v>53</v>
      </c>
      <c r="F60" s="7" t="s">
        <v>66</v>
      </c>
      <c r="G60" s="7" t="s">
        <v>55</v>
      </c>
      <c r="H60" s="12" t="s">
        <v>780</v>
      </c>
      <c r="I60" s="12" t="s">
        <v>781</v>
      </c>
    </row>
    <row r="61" ht="15.75" customHeight="1">
      <c r="A61" s="7" t="s">
        <v>256</v>
      </c>
      <c r="B61" s="7">
        <v>200146.0</v>
      </c>
      <c r="C61" s="9">
        <v>44357.0</v>
      </c>
      <c r="D61" s="7">
        <v>5.0</v>
      </c>
      <c r="E61" s="7" t="s">
        <v>53</v>
      </c>
      <c r="F61" s="7" t="s">
        <v>66</v>
      </c>
      <c r="G61" s="7" t="s">
        <v>55</v>
      </c>
      <c r="H61" s="12" t="s">
        <v>782</v>
      </c>
      <c r="I61" s="12" t="s">
        <v>783</v>
      </c>
    </row>
    <row r="62" ht="15.75" customHeight="1">
      <c r="A62" s="7" t="s">
        <v>256</v>
      </c>
      <c r="B62" s="7">
        <v>277060.0</v>
      </c>
      <c r="C62" s="9">
        <v>44336.0</v>
      </c>
      <c r="D62" s="7">
        <v>5.0</v>
      </c>
      <c r="E62" s="7" t="s">
        <v>53</v>
      </c>
      <c r="F62" s="7" t="s">
        <v>66</v>
      </c>
      <c r="G62" s="7" t="s">
        <v>55</v>
      </c>
      <c r="H62" s="12" t="s">
        <v>785</v>
      </c>
      <c r="I62" s="12" t="s">
        <v>786</v>
      </c>
    </row>
    <row r="63" ht="15.75" customHeight="1">
      <c r="A63" s="7" t="s">
        <v>256</v>
      </c>
      <c r="B63" s="7">
        <v>207993.0</v>
      </c>
      <c r="C63" s="9">
        <v>44308.0</v>
      </c>
      <c r="D63" s="7">
        <v>1.0</v>
      </c>
      <c r="E63" s="7" t="s">
        <v>82</v>
      </c>
      <c r="F63" s="7" t="s">
        <v>192</v>
      </c>
      <c r="G63" s="7" t="s">
        <v>55</v>
      </c>
      <c r="H63" s="12" t="s">
        <v>787</v>
      </c>
      <c r="I63" s="12" t="s">
        <v>255</v>
      </c>
    </row>
    <row r="64" ht="15.75" customHeight="1">
      <c r="A64" s="7" t="s">
        <v>256</v>
      </c>
      <c r="B64" s="7">
        <v>214604.0</v>
      </c>
      <c r="C64" s="9">
        <v>44270.0</v>
      </c>
      <c r="D64" s="7">
        <v>6.0</v>
      </c>
      <c r="E64" s="7" t="s">
        <v>53</v>
      </c>
      <c r="F64" s="7" t="s">
        <v>80</v>
      </c>
      <c r="G64" s="7" t="s">
        <v>55</v>
      </c>
      <c r="H64" s="12" t="s">
        <v>790</v>
      </c>
      <c r="I64" s="12" t="s">
        <v>393</v>
      </c>
    </row>
    <row r="65" ht="15.75" customHeight="1">
      <c r="A65" s="7" t="s">
        <v>394</v>
      </c>
      <c r="B65" s="7">
        <v>9812743.0</v>
      </c>
      <c r="C65" s="9">
        <v>46188.0</v>
      </c>
      <c r="D65" s="7">
        <v>1.0</v>
      </c>
      <c r="E65" s="7" t="s">
        <v>53</v>
      </c>
      <c r="F65" s="7" t="s">
        <v>69</v>
      </c>
      <c r="G65" s="7" t="s">
        <v>55</v>
      </c>
      <c r="H65" s="12" t="s">
        <v>791</v>
      </c>
      <c r="I65" s="12" t="s">
        <v>792</v>
      </c>
    </row>
    <row r="66" ht="15.75" customHeight="1">
      <c r="A66" s="7" t="s">
        <v>394</v>
      </c>
      <c r="B66" s="7">
        <v>7815498.0</v>
      </c>
      <c r="C66" s="9">
        <v>46084.0</v>
      </c>
      <c r="D66" s="7">
        <v>7.0</v>
      </c>
      <c r="E66" s="7" t="s">
        <v>53</v>
      </c>
      <c r="F66" s="7" t="s">
        <v>272</v>
      </c>
      <c r="G66" s="7" t="s">
        <v>55</v>
      </c>
      <c r="H66" s="12" t="s">
        <v>793</v>
      </c>
      <c r="I66" s="12" t="s">
        <v>795</v>
      </c>
    </row>
    <row r="67" ht="15.75" customHeight="1">
      <c r="A67" s="7" t="s">
        <v>394</v>
      </c>
      <c r="B67" s="7">
        <v>4985847.0</v>
      </c>
      <c r="C67" s="9">
        <v>45727.0</v>
      </c>
      <c r="D67" s="7">
        <v>3.0</v>
      </c>
      <c r="E67" s="7" t="s">
        <v>79</v>
      </c>
      <c r="F67" s="7" t="s">
        <v>80</v>
      </c>
      <c r="G67" s="7" t="s">
        <v>55</v>
      </c>
      <c r="H67" s="12" t="s">
        <v>797</v>
      </c>
      <c r="I67" s="12" t="s">
        <v>798</v>
      </c>
    </row>
    <row r="68" ht="15.75" customHeight="1">
      <c r="A68" s="7" t="s">
        <v>394</v>
      </c>
      <c r="B68" s="7">
        <v>2261684.0</v>
      </c>
      <c r="C68" s="9">
        <v>45712.0</v>
      </c>
      <c r="D68" s="7">
        <v>2.0</v>
      </c>
      <c r="E68" s="7" t="s">
        <v>53</v>
      </c>
      <c r="F68" s="7" t="s">
        <v>66</v>
      </c>
      <c r="G68" s="7" t="s">
        <v>55</v>
      </c>
      <c r="H68" s="12" t="s">
        <v>799</v>
      </c>
      <c r="I68" s="12" t="s">
        <v>800</v>
      </c>
    </row>
    <row r="69" ht="15.75" customHeight="1">
      <c r="A69" s="7" t="s">
        <v>394</v>
      </c>
      <c r="B69" s="7">
        <v>5496124.0</v>
      </c>
      <c r="C69" s="9">
        <v>45538.0</v>
      </c>
      <c r="D69" s="7">
        <v>5.0</v>
      </c>
      <c r="E69" s="7" t="s">
        <v>82</v>
      </c>
      <c r="F69" s="7" t="s">
        <v>110</v>
      </c>
      <c r="G69" s="7" t="s">
        <v>55</v>
      </c>
      <c r="H69" s="12" t="s">
        <v>803</v>
      </c>
      <c r="I69" s="12" t="s">
        <v>804</v>
      </c>
    </row>
    <row r="70" ht="15.75" customHeight="1">
      <c r="A70" s="7" t="s">
        <v>394</v>
      </c>
      <c r="B70" s="7">
        <v>3991047.0</v>
      </c>
      <c r="C70" s="9">
        <v>45476.0</v>
      </c>
      <c r="D70" s="7">
        <v>7.0</v>
      </c>
      <c r="E70" s="7" t="s">
        <v>53</v>
      </c>
      <c r="F70" s="7" t="s">
        <v>80</v>
      </c>
      <c r="G70" s="7" t="s">
        <v>55</v>
      </c>
      <c r="H70" s="12" t="s">
        <v>805</v>
      </c>
      <c r="I70" s="12" t="s">
        <v>806</v>
      </c>
    </row>
    <row r="71" ht="15.75" customHeight="1">
      <c r="A71" s="7" t="s">
        <v>394</v>
      </c>
      <c r="B71" s="7">
        <v>857478.0</v>
      </c>
      <c r="C71" s="9">
        <v>45258.0</v>
      </c>
      <c r="D71" s="7">
        <v>5.0</v>
      </c>
      <c r="E71" s="7" t="s">
        <v>53</v>
      </c>
      <c r="F71" s="7" t="s">
        <v>66</v>
      </c>
      <c r="G71" s="7" t="s">
        <v>55</v>
      </c>
      <c r="H71" s="12" t="s">
        <v>808</v>
      </c>
      <c r="I71" s="12" t="s">
        <v>809</v>
      </c>
    </row>
    <row r="72" ht="15.75" customHeight="1">
      <c r="A72" s="7" t="s">
        <v>394</v>
      </c>
      <c r="B72" s="7">
        <v>716433.0</v>
      </c>
      <c r="C72" s="9">
        <v>44985.0</v>
      </c>
      <c r="D72" s="7">
        <v>3.0</v>
      </c>
      <c r="E72" s="7" t="s">
        <v>53</v>
      </c>
      <c r="F72" s="7" t="s">
        <v>66</v>
      </c>
      <c r="G72" s="7" t="s">
        <v>55</v>
      </c>
      <c r="H72" s="12" t="s">
        <v>811</v>
      </c>
      <c r="I72" s="12" t="s">
        <v>812</v>
      </c>
    </row>
    <row r="73" ht="15.75" customHeight="1">
      <c r="A73" s="7" t="s">
        <v>394</v>
      </c>
      <c r="B73" s="7">
        <v>1416260.0</v>
      </c>
      <c r="C73" s="9">
        <v>44781.0</v>
      </c>
      <c r="D73" s="7">
        <v>5.0</v>
      </c>
      <c r="E73" s="7" t="s">
        <v>53</v>
      </c>
      <c r="F73" s="7" t="s">
        <v>66</v>
      </c>
      <c r="G73" s="7" t="s">
        <v>55</v>
      </c>
      <c r="H73" s="12" t="s">
        <v>813</v>
      </c>
      <c r="I73" s="12" t="s">
        <v>814</v>
      </c>
    </row>
    <row r="74" ht="15.75" customHeight="1">
      <c r="A74" s="7" t="s">
        <v>394</v>
      </c>
      <c r="B74" s="7">
        <v>173198.0</v>
      </c>
      <c r="C74" s="9">
        <v>44760.0</v>
      </c>
      <c r="D74" s="7">
        <v>1.0</v>
      </c>
      <c r="E74" s="7" t="s">
        <v>53</v>
      </c>
      <c r="F74" s="7" t="s">
        <v>124</v>
      </c>
      <c r="G74" s="7" t="s">
        <v>55</v>
      </c>
      <c r="H74" s="12" t="s">
        <v>816</v>
      </c>
      <c r="I74" s="12" t="s">
        <v>817</v>
      </c>
    </row>
    <row r="75" ht="15.75" customHeight="1">
      <c r="A75" s="7" t="s">
        <v>394</v>
      </c>
      <c r="B75" s="7">
        <v>318798.0</v>
      </c>
      <c r="C75" s="9">
        <v>44734.0</v>
      </c>
      <c r="D75" s="7">
        <v>8.0</v>
      </c>
      <c r="E75" s="7" t="s">
        <v>53</v>
      </c>
      <c r="F75" s="7" t="s">
        <v>80</v>
      </c>
      <c r="G75" s="7" t="s">
        <v>55</v>
      </c>
      <c r="H75" s="12" t="s">
        <v>818</v>
      </c>
      <c r="I75" s="12" t="s">
        <v>819</v>
      </c>
    </row>
    <row r="76" ht="15.75" customHeight="1">
      <c r="A76" s="7" t="s">
        <v>394</v>
      </c>
      <c r="B76" s="7">
        <v>1041088.0</v>
      </c>
      <c r="C76" s="9">
        <v>44713.0</v>
      </c>
      <c r="D76" s="7">
        <v>4.0</v>
      </c>
      <c r="E76" s="7" t="s">
        <v>82</v>
      </c>
      <c r="F76" s="7" t="s">
        <v>83</v>
      </c>
      <c r="G76" s="7" t="s">
        <v>55</v>
      </c>
      <c r="H76" s="12" t="s">
        <v>821</v>
      </c>
      <c r="I76" s="12" t="s">
        <v>822</v>
      </c>
    </row>
    <row r="77" ht="15.75" customHeight="1">
      <c r="A77" s="7" t="s">
        <v>394</v>
      </c>
      <c r="B77" s="7">
        <v>586171.0</v>
      </c>
      <c r="C77" s="9">
        <v>44703.0</v>
      </c>
      <c r="D77" s="7">
        <v>8.0</v>
      </c>
      <c r="E77" s="7" t="s">
        <v>53</v>
      </c>
      <c r="F77" s="7" t="s">
        <v>80</v>
      </c>
      <c r="G77" s="7" t="s">
        <v>55</v>
      </c>
      <c r="H77" s="12" t="s">
        <v>823</v>
      </c>
      <c r="I77" s="12" t="s">
        <v>824</v>
      </c>
    </row>
    <row r="78" ht="15.75" customHeight="1">
      <c r="A78" s="7" t="s">
        <v>394</v>
      </c>
      <c r="B78" s="7">
        <v>436634.0</v>
      </c>
      <c r="C78" s="9">
        <v>44650.0</v>
      </c>
      <c r="D78" s="7">
        <v>6.0</v>
      </c>
      <c r="E78" s="7" t="s">
        <v>53</v>
      </c>
      <c r="F78" s="7" t="s">
        <v>110</v>
      </c>
      <c r="G78" s="7" t="s">
        <v>55</v>
      </c>
      <c r="H78" s="12" t="s">
        <v>825</v>
      </c>
      <c r="I78" s="12" t="s">
        <v>826</v>
      </c>
    </row>
    <row r="79" ht="15.75" customHeight="1">
      <c r="A79" s="7" t="s">
        <v>394</v>
      </c>
      <c r="B79" s="7">
        <v>440615.0</v>
      </c>
      <c r="C79" s="9">
        <v>44580.0</v>
      </c>
      <c r="D79" s="7">
        <v>10.0</v>
      </c>
      <c r="E79" s="7" t="s">
        <v>53</v>
      </c>
      <c r="F79" s="7" t="s">
        <v>66</v>
      </c>
      <c r="G79" s="7" t="s">
        <v>55</v>
      </c>
      <c r="H79" s="12" t="s">
        <v>829</v>
      </c>
      <c r="I79" s="12" t="s">
        <v>830</v>
      </c>
    </row>
    <row r="80" ht="15.75" customHeight="1">
      <c r="A80" s="7" t="s">
        <v>394</v>
      </c>
      <c r="B80" s="7">
        <v>29053.0</v>
      </c>
      <c r="C80" s="9">
        <v>44336.0</v>
      </c>
      <c r="D80" s="7">
        <v>6.0</v>
      </c>
      <c r="E80" s="7" t="s">
        <v>82</v>
      </c>
      <c r="F80" s="7" t="s">
        <v>80</v>
      </c>
      <c r="G80" s="7" t="s">
        <v>55</v>
      </c>
      <c r="H80" s="12" t="s">
        <v>831</v>
      </c>
      <c r="I80" s="12" t="s">
        <v>832</v>
      </c>
    </row>
    <row r="81" ht="15.75" customHeight="1">
      <c r="A81" s="7" t="s">
        <v>394</v>
      </c>
      <c r="B81" s="7">
        <v>106273.0</v>
      </c>
      <c r="C81" s="9">
        <v>44131.0</v>
      </c>
      <c r="D81" s="7">
        <v>1.0</v>
      </c>
      <c r="E81" s="7" t="s">
        <v>79</v>
      </c>
      <c r="F81" s="7" t="s">
        <v>124</v>
      </c>
      <c r="G81" s="7" t="s">
        <v>55</v>
      </c>
      <c r="H81" s="12" t="s">
        <v>833</v>
      </c>
      <c r="I81" s="12" t="s">
        <v>834</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81"/>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1348064.0</v>
      </c>
      <c r="C2" s="9">
        <v>44763.0</v>
      </c>
      <c r="D2" s="7">
        <v>7.0</v>
      </c>
      <c r="E2" s="7" t="s">
        <v>82</v>
      </c>
      <c r="F2" s="7" t="s">
        <v>80</v>
      </c>
      <c r="G2" s="7" t="s">
        <v>55</v>
      </c>
      <c r="H2" s="12" t="s">
        <v>903</v>
      </c>
      <c r="I2" s="12" t="s">
        <v>904</v>
      </c>
    </row>
    <row r="3">
      <c r="A3" s="7" t="s">
        <v>256</v>
      </c>
      <c r="B3" s="7">
        <v>6764889.0</v>
      </c>
      <c r="C3" s="9">
        <v>46062.0</v>
      </c>
      <c r="D3" s="7">
        <v>5.0</v>
      </c>
      <c r="E3" s="7" t="s">
        <v>53</v>
      </c>
      <c r="F3" s="7" t="s">
        <v>66</v>
      </c>
      <c r="G3" s="7" t="s">
        <v>55</v>
      </c>
      <c r="H3" s="12" t="s">
        <v>905</v>
      </c>
      <c r="I3" s="12" t="s">
        <v>906</v>
      </c>
    </row>
    <row r="4">
      <c r="A4" s="7" t="s">
        <v>256</v>
      </c>
      <c r="B4" s="7">
        <v>6712333.0</v>
      </c>
      <c r="C4" s="9">
        <v>45986.0</v>
      </c>
      <c r="D4" s="7">
        <v>6.0</v>
      </c>
      <c r="E4" s="7" t="s">
        <v>82</v>
      </c>
      <c r="F4" s="7" t="s">
        <v>272</v>
      </c>
      <c r="G4" s="7" t="s">
        <v>55</v>
      </c>
      <c r="H4" s="12" t="s">
        <v>907</v>
      </c>
      <c r="I4" s="12" t="s">
        <v>274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9235848.0</v>
      </c>
      <c r="C2" s="9">
        <v>46148.0</v>
      </c>
      <c r="D2" s="7">
        <v>1.0</v>
      </c>
      <c r="E2" s="7" t="s">
        <v>79</v>
      </c>
      <c r="F2" s="7" t="s">
        <v>80</v>
      </c>
      <c r="G2" s="7" t="s">
        <v>55</v>
      </c>
      <c r="H2" s="12" t="s">
        <v>933</v>
      </c>
      <c r="I2" s="12" t="s">
        <v>620</v>
      </c>
    </row>
    <row r="3">
      <c r="A3" s="11" t="s">
        <v>49</v>
      </c>
      <c r="B3" s="7">
        <v>216696.0</v>
      </c>
      <c r="C3" s="9">
        <v>46132.0</v>
      </c>
      <c r="D3" s="7">
        <v>9.0</v>
      </c>
      <c r="E3" s="7" t="s">
        <v>82</v>
      </c>
      <c r="F3" s="7" t="s">
        <v>80</v>
      </c>
      <c r="G3" s="7" t="s">
        <v>55</v>
      </c>
      <c r="H3" s="12" t="s">
        <v>938</v>
      </c>
      <c r="I3" s="12" t="s">
        <v>939</v>
      </c>
    </row>
    <row r="4">
      <c r="A4" s="11" t="s">
        <v>49</v>
      </c>
      <c r="B4" s="7">
        <v>7956637.0</v>
      </c>
      <c r="C4" s="9">
        <v>46104.0</v>
      </c>
      <c r="D4" s="7">
        <v>3.0</v>
      </c>
      <c r="E4" s="7" t="s">
        <v>79</v>
      </c>
      <c r="F4" s="7" t="s">
        <v>80</v>
      </c>
      <c r="G4" s="7" t="s">
        <v>55</v>
      </c>
      <c r="H4" s="12" t="s">
        <v>944</v>
      </c>
      <c r="I4" s="12" t="s">
        <v>945</v>
      </c>
    </row>
    <row r="5">
      <c r="A5" s="11" t="s">
        <v>49</v>
      </c>
      <c r="B5" s="7">
        <v>6784354.0</v>
      </c>
      <c r="C5" s="9">
        <v>45949.0</v>
      </c>
      <c r="D5" s="7">
        <v>3.0</v>
      </c>
      <c r="E5" s="7" t="s">
        <v>79</v>
      </c>
      <c r="F5" s="7" t="s">
        <v>80</v>
      </c>
      <c r="G5" s="7" t="s">
        <v>55</v>
      </c>
      <c r="H5" s="12" t="s">
        <v>950</v>
      </c>
      <c r="I5" s="12" t="s">
        <v>635</v>
      </c>
    </row>
    <row r="6">
      <c r="A6" s="11" t="s">
        <v>49</v>
      </c>
      <c r="B6" s="7">
        <v>6780550.0</v>
      </c>
      <c r="C6" s="9">
        <v>45867.0</v>
      </c>
      <c r="D6" s="7">
        <v>8.0</v>
      </c>
      <c r="E6" s="7" t="s">
        <v>82</v>
      </c>
      <c r="F6" s="7" t="s">
        <v>110</v>
      </c>
      <c r="G6" s="7" t="s">
        <v>55</v>
      </c>
      <c r="H6" s="12" t="s">
        <v>953</v>
      </c>
      <c r="I6" s="12" t="s">
        <v>954</v>
      </c>
    </row>
    <row r="7">
      <c r="A7" s="11" t="s">
        <v>49</v>
      </c>
      <c r="B7" s="7">
        <v>1817441.0</v>
      </c>
      <c r="C7" s="9">
        <v>45845.0</v>
      </c>
      <c r="D7" s="7">
        <v>2.0</v>
      </c>
      <c r="E7" s="7" t="s">
        <v>53</v>
      </c>
      <c r="F7" s="7" t="s">
        <v>66</v>
      </c>
      <c r="G7" s="7" t="s">
        <v>55</v>
      </c>
      <c r="H7" s="12" t="s">
        <v>957</v>
      </c>
      <c r="I7" s="12" t="s">
        <v>960</v>
      </c>
    </row>
    <row r="8">
      <c r="A8" s="11" t="s">
        <v>49</v>
      </c>
      <c r="B8" s="7">
        <v>6481236.0</v>
      </c>
      <c r="C8" s="9">
        <v>45762.0</v>
      </c>
      <c r="D8" s="7">
        <v>10.0</v>
      </c>
      <c r="E8" s="7" t="s">
        <v>82</v>
      </c>
      <c r="F8" s="7" t="s">
        <v>647</v>
      </c>
      <c r="G8" s="7" t="s">
        <v>55</v>
      </c>
      <c r="H8" s="12" t="s">
        <v>963</v>
      </c>
      <c r="I8" s="12" t="s">
        <v>650</v>
      </c>
    </row>
    <row r="9">
      <c r="A9" s="11" t="s">
        <v>49</v>
      </c>
      <c r="B9" s="7">
        <v>6367789.0</v>
      </c>
      <c r="C9" s="9">
        <v>45705.0</v>
      </c>
      <c r="D9" s="7">
        <v>10.0</v>
      </c>
      <c r="E9" s="7" t="s">
        <v>53</v>
      </c>
      <c r="F9" s="7" t="s">
        <v>66</v>
      </c>
      <c r="G9" s="7" t="s">
        <v>55</v>
      </c>
      <c r="H9" s="12" t="s">
        <v>964</v>
      </c>
      <c r="I9" s="12" t="s">
        <v>965</v>
      </c>
    </row>
    <row r="10">
      <c r="A10" s="11" t="s">
        <v>49</v>
      </c>
      <c r="B10" s="7">
        <v>217144.0</v>
      </c>
      <c r="C10" s="9">
        <v>45602.0</v>
      </c>
      <c r="D10" s="7">
        <v>10.0</v>
      </c>
      <c r="E10" s="7" t="s">
        <v>53</v>
      </c>
      <c r="F10" s="7" t="s">
        <v>80</v>
      </c>
      <c r="G10" s="7" t="s">
        <v>55</v>
      </c>
      <c r="H10" s="12" t="s">
        <v>966</v>
      </c>
      <c r="I10" s="12" t="s">
        <v>967</v>
      </c>
    </row>
    <row r="11">
      <c r="A11" s="11" t="s">
        <v>49</v>
      </c>
      <c r="B11" s="7">
        <v>2004685.0</v>
      </c>
      <c r="C11" s="9">
        <v>45601.0</v>
      </c>
      <c r="D11" s="7">
        <v>7.0</v>
      </c>
      <c r="E11" s="7" t="s">
        <v>53</v>
      </c>
      <c r="F11" s="7" t="s">
        <v>66</v>
      </c>
      <c r="G11" s="7" t="s">
        <v>55</v>
      </c>
      <c r="H11" s="12" t="s">
        <v>968</v>
      </c>
      <c r="I11" s="12" t="s">
        <v>571</v>
      </c>
    </row>
    <row r="12">
      <c r="A12" s="11" t="s">
        <v>49</v>
      </c>
      <c r="B12" s="7">
        <v>3491152.0</v>
      </c>
      <c r="C12" s="9">
        <v>45569.0</v>
      </c>
      <c r="D12" s="7">
        <v>10.0</v>
      </c>
      <c r="E12" s="7" t="s">
        <v>53</v>
      </c>
      <c r="F12" s="7" t="s">
        <v>655</v>
      </c>
      <c r="G12" s="7" t="s">
        <v>55</v>
      </c>
      <c r="H12" s="12" t="s">
        <v>969</v>
      </c>
      <c r="I12" s="12" t="s">
        <v>971</v>
      </c>
    </row>
    <row r="13">
      <c r="A13" s="11" t="s">
        <v>49</v>
      </c>
      <c r="B13" s="7">
        <v>1014717.0</v>
      </c>
      <c r="C13" s="9">
        <v>45560.0</v>
      </c>
      <c r="D13" s="7">
        <v>6.0</v>
      </c>
      <c r="E13" s="7" t="s">
        <v>53</v>
      </c>
      <c r="F13" s="7" t="s">
        <v>66</v>
      </c>
      <c r="G13" s="7" t="s">
        <v>55</v>
      </c>
      <c r="H13" s="12" t="s">
        <v>974</v>
      </c>
      <c r="I13" s="12" t="s">
        <v>976</v>
      </c>
    </row>
    <row r="14">
      <c r="A14" s="11" t="s">
        <v>49</v>
      </c>
      <c r="B14" s="7">
        <v>2345891.0</v>
      </c>
      <c r="C14" s="9">
        <v>45500.0</v>
      </c>
      <c r="D14" s="7">
        <v>4.0</v>
      </c>
      <c r="E14" s="7" t="s">
        <v>53</v>
      </c>
      <c r="F14" s="7" t="s">
        <v>110</v>
      </c>
      <c r="G14" s="7" t="s">
        <v>55</v>
      </c>
      <c r="H14" s="12" t="s">
        <v>977</v>
      </c>
      <c r="I14" s="12" t="s">
        <v>979</v>
      </c>
    </row>
    <row r="15">
      <c r="A15" s="11" t="s">
        <v>49</v>
      </c>
      <c r="B15" s="7">
        <v>5158908.0</v>
      </c>
      <c r="C15" s="9">
        <v>45482.0</v>
      </c>
      <c r="D15" s="7">
        <v>1.0</v>
      </c>
      <c r="E15" s="7" t="s">
        <v>82</v>
      </c>
      <c r="F15" s="7" t="s">
        <v>73</v>
      </c>
      <c r="G15" s="7" t="s">
        <v>55</v>
      </c>
      <c r="H15" s="12" t="s">
        <v>981</v>
      </c>
      <c r="I15" s="12" t="s">
        <v>982</v>
      </c>
    </row>
    <row r="16">
      <c r="A16" s="11" t="s">
        <v>49</v>
      </c>
      <c r="B16" s="7">
        <v>756182.0</v>
      </c>
      <c r="C16" s="9">
        <v>45434.0</v>
      </c>
      <c r="D16" s="7">
        <v>3.0</v>
      </c>
      <c r="E16" s="7" t="s">
        <v>53</v>
      </c>
      <c r="F16" s="7" t="s">
        <v>66</v>
      </c>
      <c r="G16" s="7" t="s">
        <v>55</v>
      </c>
      <c r="H16" s="12" t="s">
        <v>985</v>
      </c>
      <c r="I16" s="12" t="s">
        <v>986</v>
      </c>
    </row>
    <row r="17">
      <c r="A17" s="11" t="s">
        <v>49</v>
      </c>
      <c r="B17" s="7">
        <v>376132.0</v>
      </c>
      <c r="C17" s="9">
        <v>45429.0</v>
      </c>
      <c r="D17" s="7">
        <v>1.0</v>
      </c>
      <c r="E17" s="7" t="s">
        <v>53</v>
      </c>
      <c r="F17" s="7" t="s">
        <v>66</v>
      </c>
      <c r="G17" s="7" t="s">
        <v>55</v>
      </c>
      <c r="H17" s="12" t="s">
        <v>989</v>
      </c>
      <c r="I17" s="12" t="s">
        <v>990</v>
      </c>
    </row>
    <row r="18">
      <c r="A18" s="11" t="s">
        <v>49</v>
      </c>
      <c r="B18" s="7">
        <v>1158626.0</v>
      </c>
      <c r="C18" s="9">
        <v>45316.0</v>
      </c>
      <c r="D18" s="7">
        <v>1.0</v>
      </c>
      <c r="E18" s="7" t="s">
        <v>53</v>
      </c>
      <c r="F18" s="7" t="s">
        <v>66</v>
      </c>
      <c r="G18" s="7" t="s">
        <v>55</v>
      </c>
      <c r="H18" s="12" t="s">
        <v>991</v>
      </c>
      <c r="I18" s="12" t="s">
        <v>681</v>
      </c>
    </row>
    <row r="19">
      <c r="A19" s="11" t="s">
        <v>49</v>
      </c>
      <c r="B19" s="7">
        <v>416062.0</v>
      </c>
      <c r="C19" s="9">
        <v>45264.0</v>
      </c>
      <c r="D19" s="7">
        <v>3.0</v>
      </c>
      <c r="E19" s="7" t="s">
        <v>79</v>
      </c>
      <c r="F19" s="7" t="s">
        <v>110</v>
      </c>
      <c r="G19" s="7" t="s">
        <v>55</v>
      </c>
      <c r="H19" s="12" t="s">
        <v>996</v>
      </c>
      <c r="I19" s="12" t="s">
        <v>997</v>
      </c>
    </row>
    <row r="20">
      <c r="A20" s="11" t="s">
        <v>49</v>
      </c>
      <c r="B20" s="7">
        <v>3724939.0</v>
      </c>
      <c r="C20" s="9">
        <v>45243.0</v>
      </c>
      <c r="D20" s="7">
        <v>2.0</v>
      </c>
      <c r="E20" s="7" t="s">
        <v>53</v>
      </c>
      <c r="F20" s="7" t="s">
        <v>80</v>
      </c>
      <c r="G20" s="7" t="s">
        <v>55</v>
      </c>
      <c r="H20" s="12" t="s">
        <v>1000</v>
      </c>
      <c r="I20" s="12" t="s">
        <v>1001</v>
      </c>
    </row>
    <row r="21" ht="15.75" customHeight="1">
      <c r="A21" s="11" t="s">
        <v>49</v>
      </c>
      <c r="B21" s="7">
        <v>3502975.0</v>
      </c>
      <c r="C21" s="9">
        <v>45223.0</v>
      </c>
      <c r="D21" s="7">
        <v>1.0</v>
      </c>
      <c r="E21" s="7" t="s">
        <v>79</v>
      </c>
      <c r="F21" s="7" t="s">
        <v>80</v>
      </c>
      <c r="G21" s="7" t="s">
        <v>55</v>
      </c>
      <c r="H21" s="12" t="s">
        <v>1004</v>
      </c>
      <c r="I21" s="12" t="s">
        <v>1005</v>
      </c>
    </row>
    <row r="22" ht="15.75" customHeight="1">
      <c r="A22" s="11" t="s">
        <v>49</v>
      </c>
      <c r="B22" s="7">
        <v>3094460.0</v>
      </c>
      <c r="C22" s="9">
        <v>45219.0</v>
      </c>
      <c r="D22" s="7">
        <v>1.0</v>
      </c>
      <c r="E22" s="7" t="s">
        <v>53</v>
      </c>
      <c r="F22" s="7" t="s">
        <v>80</v>
      </c>
      <c r="G22" s="7" t="s">
        <v>55</v>
      </c>
      <c r="H22" s="12" t="s">
        <v>1006</v>
      </c>
      <c r="I22" s="12" t="s">
        <v>1007</v>
      </c>
    </row>
    <row r="23" ht="15.75" customHeight="1">
      <c r="A23" s="11" t="s">
        <v>49</v>
      </c>
      <c r="B23" s="7">
        <v>3102687.0</v>
      </c>
      <c r="C23" s="9">
        <v>45191.0</v>
      </c>
      <c r="D23" s="7">
        <v>5.0</v>
      </c>
      <c r="E23" s="7" t="s">
        <v>53</v>
      </c>
      <c r="F23" s="7" t="s">
        <v>83</v>
      </c>
      <c r="G23" s="7" t="s">
        <v>55</v>
      </c>
      <c r="H23" s="12" t="s">
        <v>1008</v>
      </c>
      <c r="I23" s="12" t="s">
        <v>1009</v>
      </c>
    </row>
    <row r="24" ht="15.75" customHeight="1">
      <c r="A24" s="11" t="s">
        <v>49</v>
      </c>
      <c r="B24" s="7">
        <v>521173.0</v>
      </c>
      <c r="C24" s="9">
        <v>45190.0</v>
      </c>
      <c r="D24" s="7">
        <v>1.0</v>
      </c>
      <c r="E24" s="7" t="s">
        <v>53</v>
      </c>
      <c r="F24" s="7" t="s">
        <v>66</v>
      </c>
      <c r="G24" s="7" t="s">
        <v>55</v>
      </c>
      <c r="H24" s="12" t="s">
        <v>1010</v>
      </c>
      <c r="I24" s="12" t="s">
        <v>828</v>
      </c>
    </row>
    <row r="25" ht="15.75" customHeight="1">
      <c r="A25" s="11" t="s">
        <v>49</v>
      </c>
      <c r="B25" s="7">
        <v>3200530.0</v>
      </c>
      <c r="C25" s="9">
        <v>45180.0</v>
      </c>
      <c r="D25" s="7">
        <v>7.0</v>
      </c>
      <c r="E25" s="7" t="s">
        <v>79</v>
      </c>
      <c r="F25" s="7" t="s">
        <v>110</v>
      </c>
      <c r="G25" s="7" t="s">
        <v>55</v>
      </c>
      <c r="H25" s="12" t="s">
        <v>1011</v>
      </c>
      <c r="I25" s="12" t="s">
        <v>1012</v>
      </c>
    </row>
    <row r="26" ht="15.75" customHeight="1">
      <c r="A26" s="11" t="s">
        <v>49</v>
      </c>
      <c r="B26" s="7">
        <v>859399.0</v>
      </c>
      <c r="C26" s="9">
        <v>45114.0</v>
      </c>
      <c r="D26" s="7">
        <v>5.0</v>
      </c>
      <c r="E26" s="7" t="s">
        <v>79</v>
      </c>
      <c r="F26" s="7" t="s">
        <v>80</v>
      </c>
      <c r="G26" s="7" t="s">
        <v>55</v>
      </c>
      <c r="H26" s="12" t="s">
        <v>1013</v>
      </c>
      <c r="I26" s="12" t="s">
        <v>346</v>
      </c>
    </row>
    <row r="27" ht="15.75" customHeight="1">
      <c r="A27" s="11" t="s">
        <v>49</v>
      </c>
      <c r="B27" s="7">
        <v>2238059.0</v>
      </c>
      <c r="C27" s="9">
        <v>45089.0</v>
      </c>
      <c r="D27" s="7">
        <v>1.0</v>
      </c>
      <c r="E27" s="7" t="s">
        <v>53</v>
      </c>
      <c r="F27" s="7" t="s">
        <v>110</v>
      </c>
      <c r="G27" s="7" t="s">
        <v>55</v>
      </c>
      <c r="H27" s="12" t="s">
        <v>1014</v>
      </c>
      <c r="I27" s="12" t="s">
        <v>1014</v>
      </c>
    </row>
    <row r="28" ht="15.75" customHeight="1">
      <c r="A28" s="11" t="s">
        <v>49</v>
      </c>
      <c r="B28" s="7">
        <v>1158626.0</v>
      </c>
      <c r="C28" s="9">
        <v>45043.0</v>
      </c>
      <c r="D28" s="7">
        <v>1.0</v>
      </c>
      <c r="E28" s="7" t="s">
        <v>53</v>
      </c>
      <c r="F28" s="7" t="s">
        <v>66</v>
      </c>
      <c r="G28" s="7" t="s">
        <v>55</v>
      </c>
      <c r="H28" s="12" t="s">
        <v>1015</v>
      </c>
      <c r="I28" s="12" t="s">
        <v>1016</v>
      </c>
    </row>
    <row r="29" ht="15.75" customHeight="1">
      <c r="A29" s="11" t="s">
        <v>49</v>
      </c>
      <c r="B29" s="7">
        <v>125013.0</v>
      </c>
      <c r="C29" s="9">
        <v>45037.0</v>
      </c>
      <c r="D29" s="7">
        <v>5.0</v>
      </c>
      <c r="E29" s="7" t="s">
        <v>79</v>
      </c>
      <c r="F29" s="7" t="s">
        <v>124</v>
      </c>
      <c r="G29" s="7" t="s">
        <v>55</v>
      </c>
      <c r="H29" s="12" t="s">
        <v>1017</v>
      </c>
      <c r="I29" s="12" t="s">
        <v>1018</v>
      </c>
    </row>
    <row r="30" ht="15.75" customHeight="1">
      <c r="A30" s="11" t="s">
        <v>49</v>
      </c>
      <c r="B30" s="7">
        <v>1995150.0</v>
      </c>
      <c r="C30" s="9">
        <v>45026.0</v>
      </c>
      <c r="D30" s="7">
        <v>4.0</v>
      </c>
      <c r="E30" s="7" t="s">
        <v>82</v>
      </c>
      <c r="F30" s="7" t="s">
        <v>110</v>
      </c>
      <c r="G30" s="7" t="s">
        <v>55</v>
      </c>
      <c r="H30" s="12" t="s">
        <v>1019</v>
      </c>
      <c r="I30" s="12" t="s">
        <v>1020</v>
      </c>
    </row>
    <row r="31" ht="15.75" customHeight="1">
      <c r="A31" s="11" t="s">
        <v>49</v>
      </c>
      <c r="B31" s="7">
        <v>1630090.0</v>
      </c>
      <c r="C31" s="9">
        <v>45022.0</v>
      </c>
      <c r="D31" s="7">
        <v>3.0</v>
      </c>
      <c r="E31" s="7" t="s">
        <v>53</v>
      </c>
      <c r="F31" s="7" t="s">
        <v>80</v>
      </c>
      <c r="G31" s="7" t="s">
        <v>55</v>
      </c>
      <c r="H31" s="12" t="s">
        <v>1021</v>
      </c>
      <c r="I31" s="12" t="s">
        <v>1022</v>
      </c>
    </row>
    <row r="32" ht="15.75" customHeight="1">
      <c r="A32" s="11" t="s">
        <v>49</v>
      </c>
      <c r="B32" s="7">
        <v>442732.0</v>
      </c>
      <c r="C32" s="9">
        <v>44984.0</v>
      </c>
      <c r="D32" s="7">
        <v>7.0</v>
      </c>
      <c r="E32" s="7" t="s">
        <v>53</v>
      </c>
      <c r="F32" s="7" t="s">
        <v>80</v>
      </c>
      <c r="G32" s="7" t="s">
        <v>55</v>
      </c>
      <c r="H32" s="12" t="s">
        <v>1023</v>
      </c>
      <c r="I32" s="12" t="s">
        <v>1024</v>
      </c>
    </row>
    <row r="33" ht="15.75" customHeight="1">
      <c r="A33" s="11" t="s">
        <v>49</v>
      </c>
      <c r="B33" s="7">
        <v>655110.0</v>
      </c>
      <c r="C33" s="9">
        <v>44981.0</v>
      </c>
      <c r="D33" s="7">
        <v>7.0</v>
      </c>
      <c r="E33" s="7" t="s">
        <v>53</v>
      </c>
      <c r="F33" s="7" t="s">
        <v>66</v>
      </c>
      <c r="G33" s="7" t="s">
        <v>55</v>
      </c>
      <c r="H33" s="12" t="s">
        <v>1025</v>
      </c>
      <c r="I33" s="12" t="s">
        <v>1026</v>
      </c>
    </row>
    <row r="34" ht="15.75" customHeight="1">
      <c r="A34" s="11" t="s">
        <v>49</v>
      </c>
      <c r="B34" s="7">
        <v>376132.0</v>
      </c>
      <c r="C34" s="9">
        <v>44973.0</v>
      </c>
      <c r="D34" s="7">
        <v>5.0</v>
      </c>
      <c r="E34" s="7" t="s">
        <v>53</v>
      </c>
      <c r="F34" s="7" t="s">
        <v>66</v>
      </c>
      <c r="G34" s="7" t="s">
        <v>55</v>
      </c>
      <c r="H34" s="12" t="s">
        <v>1027</v>
      </c>
      <c r="I34" s="12" t="s">
        <v>1028</v>
      </c>
    </row>
    <row r="35" ht="15.75" customHeight="1">
      <c r="A35" s="11" t="s">
        <v>49</v>
      </c>
      <c r="B35" s="7">
        <v>1593516.0</v>
      </c>
      <c r="C35" s="9">
        <v>44972.0</v>
      </c>
      <c r="D35" s="7">
        <v>7.0</v>
      </c>
      <c r="E35" s="7" t="s">
        <v>82</v>
      </c>
      <c r="F35" s="7" t="s">
        <v>110</v>
      </c>
      <c r="G35" s="7" t="s">
        <v>55</v>
      </c>
      <c r="H35" s="12" t="s">
        <v>1029</v>
      </c>
      <c r="I35" s="12" t="s">
        <v>1030</v>
      </c>
    </row>
    <row r="36" ht="15.75" customHeight="1">
      <c r="A36" s="11" t="s">
        <v>49</v>
      </c>
      <c r="B36" s="7">
        <v>2070431.0</v>
      </c>
      <c r="C36" s="9">
        <v>44970.0</v>
      </c>
      <c r="D36" s="7">
        <v>3.0</v>
      </c>
      <c r="E36" s="7" t="s">
        <v>79</v>
      </c>
      <c r="F36" s="7" t="s">
        <v>110</v>
      </c>
      <c r="G36" s="7" t="s">
        <v>55</v>
      </c>
      <c r="H36" s="12" t="s">
        <v>1031</v>
      </c>
      <c r="I36" s="12" t="s">
        <v>1032</v>
      </c>
    </row>
    <row r="37" ht="15.75" customHeight="1">
      <c r="A37" s="11" t="s">
        <v>49</v>
      </c>
      <c r="B37" s="7">
        <v>277060.0</v>
      </c>
      <c r="C37" s="9">
        <v>44967.0</v>
      </c>
      <c r="D37" s="7">
        <v>1.0</v>
      </c>
      <c r="E37" s="7" t="s">
        <v>53</v>
      </c>
      <c r="F37" s="7" t="s">
        <v>66</v>
      </c>
      <c r="G37" s="7" t="s">
        <v>55</v>
      </c>
      <c r="H37" s="12" t="s">
        <v>1033</v>
      </c>
      <c r="I37" s="12" t="s">
        <v>895</v>
      </c>
    </row>
    <row r="38" ht="15.75" customHeight="1">
      <c r="A38" s="11" t="s">
        <v>49</v>
      </c>
      <c r="B38" s="7">
        <v>1926640.0</v>
      </c>
      <c r="C38" s="9">
        <v>44956.0</v>
      </c>
      <c r="D38" s="7">
        <v>6.0</v>
      </c>
      <c r="E38" s="7" t="s">
        <v>82</v>
      </c>
      <c r="F38" s="7" t="s">
        <v>80</v>
      </c>
      <c r="G38" s="7" t="s">
        <v>55</v>
      </c>
      <c r="H38" s="12" t="s">
        <v>1034</v>
      </c>
      <c r="I38" s="12" t="s">
        <v>1035</v>
      </c>
    </row>
    <row r="39" ht="15.75" customHeight="1">
      <c r="A39" s="11" t="s">
        <v>49</v>
      </c>
      <c r="B39" s="7">
        <v>982205.0</v>
      </c>
      <c r="C39" s="9">
        <v>44937.0</v>
      </c>
      <c r="D39" s="7">
        <v>1.0</v>
      </c>
      <c r="E39" s="7" t="s">
        <v>53</v>
      </c>
      <c r="F39" s="7" t="s">
        <v>66</v>
      </c>
      <c r="G39" s="7" t="s">
        <v>55</v>
      </c>
      <c r="H39" s="12" t="s">
        <v>1036</v>
      </c>
      <c r="I39" s="12" t="s">
        <v>1037</v>
      </c>
    </row>
    <row r="40" ht="15.75" customHeight="1">
      <c r="A40" s="11" t="s">
        <v>49</v>
      </c>
      <c r="B40" s="7">
        <v>1598493.0</v>
      </c>
      <c r="C40" s="9">
        <v>44935.0</v>
      </c>
      <c r="D40" s="7">
        <v>7.0</v>
      </c>
      <c r="E40" s="7" t="s">
        <v>53</v>
      </c>
      <c r="F40" s="7" t="s">
        <v>80</v>
      </c>
      <c r="G40" s="7" t="s">
        <v>55</v>
      </c>
      <c r="H40" s="12" t="s">
        <v>1038</v>
      </c>
      <c r="I40" s="12" t="s">
        <v>1039</v>
      </c>
    </row>
    <row r="41" ht="15.75" customHeight="1">
      <c r="A41" s="11" t="s">
        <v>49</v>
      </c>
      <c r="B41" s="7">
        <v>2003058.0</v>
      </c>
      <c r="C41" s="9">
        <v>44922.0</v>
      </c>
      <c r="D41" s="7">
        <v>3.0</v>
      </c>
      <c r="E41" s="7" t="s">
        <v>53</v>
      </c>
      <c r="F41" s="7" t="s">
        <v>80</v>
      </c>
      <c r="G41" s="7" t="s">
        <v>55</v>
      </c>
      <c r="H41" s="12" t="s">
        <v>1040</v>
      </c>
      <c r="I41" s="12" t="s">
        <v>1041</v>
      </c>
    </row>
    <row r="42" ht="15.75" customHeight="1">
      <c r="A42" s="11" t="s">
        <v>49</v>
      </c>
      <c r="B42" s="7">
        <v>116710.0</v>
      </c>
      <c r="C42" s="9">
        <v>44915.0</v>
      </c>
      <c r="D42" s="7">
        <v>2.0</v>
      </c>
      <c r="E42" s="7" t="s">
        <v>82</v>
      </c>
      <c r="F42" s="7" t="s">
        <v>647</v>
      </c>
      <c r="G42" s="7" t="s">
        <v>55</v>
      </c>
      <c r="H42" s="12" t="s">
        <v>1042</v>
      </c>
      <c r="I42" s="12" t="s">
        <v>1043</v>
      </c>
    </row>
    <row r="43" ht="15.75" customHeight="1">
      <c r="A43" s="11" t="s">
        <v>49</v>
      </c>
      <c r="B43" s="7">
        <v>1593516.0</v>
      </c>
      <c r="C43" s="9">
        <v>44881.0</v>
      </c>
      <c r="D43" s="7">
        <v>7.0</v>
      </c>
      <c r="E43" s="7" t="s">
        <v>82</v>
      </c>
      <c r="F43" s="7" t="s">
        <v>110</v>
      </c>
      <c r="G43" s="7" t="s">
        <v>55</v>
      </c>
      <c r="H43" s="12" t="s">
        <v>1044</v>
      </c>
      <c r="I43" s="12" t="s">
        <v>1045</v>
      </c>
    </row>
    <row r="44" ht="15.75" customHeight="1">
      <c r="A44" s="11" t="s">
        <v>49</v>
      </c>
      <c r="B44" s="7">
        <v>958040.0</v>
      </c>
      <c r="C44" s="9">
        <v>44875.0</v>
      </c>
      <c r="D44" s="7">
        <v>1.0</v>
      </c>
      <c r="E44" s="7" t="s">
        <v>53</v>
      </c>
      <c r="F44" s="7" t="s">
        <v>80</v>
      </c>
      <c r="G44" s="7" t="s">
        <v>55</v>
      </c>
      <c r="H44" s="12" t="s">
        <v>1046</v>
      </c>
      <c r="I44" s="12" t="s">
        <v>1047</v>
      </c>
    </row>
    <row r="45" ht="15.75" customHeight="1">
      <c r="A45" s="11" t="s">
        <v>49</v>
      </c>
      <c r="B45" s="7">
        <v>1736352.0</v>
      </c>
      <c r="C45" s="9">
        <v>44862.0</v>
      </c>
      <c r="D45" s="7">
        <v>7.0</v>
      </c>
      <c r="E45" s="7" t="s">
        <v>53</v>
      </c>
      <c r="F45" s="7" t="s">
        <v>142</v>
      </c>
      <c r="G45" s="7" t="s">
        <v>55</v>
      </c>
      <c r="H45" s="12" t="s">
        <v>1048</v>
      </c>
      <c r="I45" s="12" t="s">
        <v>1049</v>
      </c>
    </row>
    <row r="46" ht="15.75" customHeight="1">
      <c r="A46" s="11" t="s">
        <v>49</v>
      </c>
      <c r="B46" s="7">
        <v>253253.0</v>
      </c>
      <c r="C46" s="9">
        <v>44858.0</v>
      </c>
      <c r="D46" s="7">
        <v>7.0</v>
      </c>
      <c r="E46" s="7" t="s">
        <v>53</v>
      </c>
      <c r="F46" s="7" t="s">
        <v>80</v>
      </c>
      <c r="G46" s="7" t="s">
        <v>55</v>
      </c>
      <c r="H46" s="12" t="s">
        <v>1050</v>
      </c>
      <c r="I46" s="12" t="s">
        <v>1051</v>
      </c>
    </row>
    <row r="47" ht="15.75" customHeight="1">
      <c r="A47" s="11" t="s">
        <v>49</v>
      </c>
      <c r="B47" s="7">
        <v>1671190.0</v>
      </c>
      <c r="C47" s="9">
        <v>44847.0</v>
      </c>
      <c r="D47" s="7">
        <v>5.0</v>
      </c>
      <c r="E47" s="7" t="s">
        <v>53</v>
      </c>
      <c r="F47" s="7" t="s">
        <v>1054</v>
      </c>
      <c r="G47" s="7" t="s">
        <v>55</v>
      </c>
      <c r="H47" s="12" t="s">
        <v>1055</v>
      </c>
      <c r="I47" s="12" t="s">
        <v>1056</v>
      </c>
    </row>
    <row r="48" ht="15.75" customHeight="1">
      <c r="A48" s="11" t="s">
        <v>49</v>
      </c>
      <c r="B48" s="7">
        <v>539276.0</v>
      </c>
      <c r="C48" s="9">
        <v>44846.0</v>
      </c>
      <c r="D48" s="7">
        <v>1.0</v>
      </c>
      <c r="E48" s="7" t="s">
        <v>82</v>
      </c>
      <c r="F48" s="7" t="s">
        <v>124</v>
      </c>
      <c r="G48" s="7" t="s">
        <v>55</v>
      </c>
      <c r="H48" s="12" t="s">
        <v>1061</v>
      </c>
      <c r="I48" s="12" t="s">
        <v>1062</v>
      </c>
    </row>
    <row r="49" ht="15.75" customHeight="1">
      <c r="A49" s="11" t="s">
        <v>49</v>
      </c>
      <c r="B49" s="7">
        <v>837678.0</v>
      </c>
      <c r="C49" s="9">
        <v>44843.0</v>
      </c>
      <c r="D49" s="7">
        <v>8.0</v>
      </c>
      <c r="E49" s="7" t="s">
        <v>53</v>
      </c>
      <c r="F49" s="7" t="s">
        <v>110</v>
      </c>
      <c r="G49" s="7" t="s">
        <v>55</v>
      </c>
      <c r="H49" s="12" t="s">
        <v>1067</v>
      </c>
      <c r="I49" s="12" t="s">
        <v>1067</v>
      </c>
    </row>
    <row r="50" ht="15.75" customHeight="1">
      <c r="A50" s="11" t="s">
        <v>49</v>
      </c>
      <c r="B50" s="7">
        <v>543948.0</v>
      </c>
      <c r="C50" s="9">
        <v>44834.0</v>
      </c>
      <c r="D50" s="7">
        <v>1.0</v>
      </c>
      <c r="E50" s="7" t="s">
        <v>79</v>
      </c>
      <c r="F50" s="7" t="s">
        <v>80</v>
      </c>
      <c r="G50" s="7" t="s">
        <v>55</v>
      </c>
      <c r="H50" s="12" t="s">
        <v>1069</v>
      </c>
      <c r="I50" s="12" t="s">
        <v>1070</v>
      </c>
    </row>
    <row r="51" ht="15.75" customHeight="1">
      <c r="A51" s="11" t="s">
        <v>49</v>
      </c>
      <c r="B51" s="7">
        <v>697377.0</v>
      </c>
      <c r="C51" s="9">
        <v>44832.0</v>
      </c>
      <c r="D51" s="7">
        <v>2.0</v>
      </c>
      <c r="E51" s="7" t="s">
        <v>53</v>
      </c>
      <c r="F51" s="7" t="s">
        <v>66</v>
      </c>
      <c r="G51" s="7" t="s">
        <v>55</v>
      </c>
      <c r="H51" s="12" t="s">
        <v>1075</v>
      </c>
      <c r="I51" s="12" t="s">
        <v>717</v>
      </c>
    </row>
    <row r="52" ht="15.75" customHeight="1">
      <c r="A52" s="11" t="s">
        <v>49</v>
      </c>
      <c r="B52" s="7">
        <v>1044704.0</v>
      </c>
      <c r="C52" s="9">
        <v>44832.0</v>
      </c>
      <c r="D52" s="7">
        <v>6.0</v>
      </c>
      <c r="E52" s="7" t="s">
        <v>53</v>
      </c>
      <c r="F52" s="7" t="s">
        <v>66</v>
      </c>
      <c r="G52" s="7" t="s">
        <v>55</v>
      </c>
      <c r="H52" s="12" t="s">
        <v>1080</v>
      </c>
      <c r="I52" s="12" t="s">
        <v>1081</v>
      </c>
    </row>
    <row r="53" ht="15.75" customHeight="1">
      <c r="A53" s="11" t="s">
        <v>49</v>
      </c>
      <c r="B53" s="7">
        <v>1145617.0</v>
      </c>
      <c r="C53" s="9">
        <v>44831.0</v>
      </c>
      <c r="D53" s="7">
        <v>1.0</v>
      </c>
      <c r="E53" s="7" t="s">
        <v>53</v>
      </c>
      <c r="F53" s="7" t="s">
        <v>66</v>
      </c>
      <c r="G53" s="7" t="s">
        <v>55</v>
      </c>
      <c r="H53" s="12" t="s">
        <v>1086</v>
      </c>
      <c r="I53" s="12" t="s">
        <v>1087</v>
      </c>
    </row>
    <row r="54" ht="15.75" customHeight="1">
      <c r="A54" s="11" t="s">
        <v>49</v>
      </c>
      <c r="B54" s="7">
        <v>116710.0</v>
      </c>
      <c r="C54" s="9">
        <v>44827.0</v>
      </c>
      <c r="D54" s="7">
        <v>2.0</v>
      </c>
      <c r="E54" s="7" t="s">
        <v>82</v>
      </c>
      <c r="F54" s="7" t="s">
        <v>647</v>
      </c>
      <c r="G54" s="7" t="s">
        <v>55</v>
      </c>
      <c r="H54" s="12" t="s">
        <v>1092</v>
      </c>
      <c r="I54" s="12" t="s">
        <v>1093</v>
      </c>
    </row>
    <row r="55" ht="15.75" customHeight="1">
      <c r="A55" s="11" t="s">
        <v>49</v>
      </c>
      <c r="B55" s="7">
        <v>396635.0</v>
      </c>
      <c r="C55" s="9">
        <v>44813.0</v>
      </c>
      <c r="D55" s="7">
        <v>2.0</v>
      </c>
      <c r="E55" s="7" t="s">
        <v>53</v>
      </c>
      <c r="F55" s="7" t="s">
        <v>66</v>
      </c>
      <c r="G55" s="7" t="s">
        <v>55</v>
      </c>
      <c r="H55" s="12" t="s">
        <v>1099</v>
      </c>
      <c r="I55" s="12" t="s">
        <v>1100</v>
      </c>
    </row>
    <row r="56" ht="15.75" customHeight="1">
      <c r="A56" s="11" t="s">
        <v>49</v>
      </c>
      <c r="B56" s="7">
        <v>1534773.0</v>
      </c>
      <c r="C56" s="9">
        <v>44813.0</v>
      </c>
      <c r="D56" s="7">
        <v>1.0</v>
      </c>
      <c r="E56" s="7" t="s">
        <v>53</v>
      </c>
      <c r="F56" s="7" t="s">
        <v>80</v>
      </c>
      <c r="G56" s="7" t="s">
        <v>55</v>
      </c>
      <c r="H56" s="12" t="s">
        <v>1104</v>
      </c>
      <c r="I56" s="12" t="s">
        <v>1106</v>
      </c>
    </row>
    <row r="57" ht="15.75" customHeight="1">
      <c r="A57" s="11" t="s">
        <v>49</v>
      </c>
      <c r="B57" s="7">
        <v>1091982.0</v>
      </c>
      <c r="C57" s="9">
        <v>44801.0</v>
      </c>
      <c r="D57" s="7">
        <v>5.0</v>
      </c>
      <c r="E57" s="7" t="s">
        <v>53</v>
      </c>
      <c r="F57" s="7" t="s">
        <v>66</v>
      </c>
      <c r="G57" s="7" t="s">
        <v>55</v>
      </c>
      <c r="H57" s="12" t="s">
        <v>1110</v>
      </c>
      <c r="I57" s="12" t="s">
        <v>1111</v>
      </c>
    </row>
    <row r="58" ht="15.75" customHeight="1">
      <c r="A58" s="11" t="s">
        <v>49</v>
      </c>
      <c r="B58" s="7">
        <v>277060.0</v>
      </c>
      <c r="C58" s="9">
        <v>44787.0</v>
      </c>
      <c r="D58" s="7">
        <v>1.0</v>
      </c>
      <c r="E58" s="7" t="s">
        <v>53</v>
      </c>
      <c r="F58" s="7" t="s">
        <v>66</v>
      </c>
      <c r="G58" s="7" t="s">
        <v>55</v>
      </c>
      <c r="H58" s="12" t="s">
        <v>1114</v>
      </c>
      <c r="I58" s="12" t="s">
        <v>726</v>
      </c>
    </row>
    <row r="59" ht="15.75" customHeight="1">
      <c r="A59" s="11" t="s">
        <v>49</v>
      </c>
      <c r="B59" s="7">
        <v>907466.0</v>
      </c>
      <c r="C59" s="9">
        <v>44784.0</v>
      </c>
      <c r="D59" s="7">
        <v>8.0</v>
      </c>
      <c r="E59" s="7" t="s">
        <v>53</v>
      </c>
      <c r="F59" s="7" t="s">
        <v>150</v>
      </c>
      <c r="G59" s="7" t="s">
        <v>55</v>
      </c>
      <c r="H59" s="12" t="s">
        <v>1118</v>
      </c>
      <c r="I59" s="12" t="s">
        <v>1119</v>
      </c>
    </row>
    <row r="60" ht="15.75" customHeight="1">
      <c r="A60" s="11" t="s">
        <v>49</v>
      </c>
      <c r="B60" s="7">
        <v>952364.0</v>
      </c>
      <c r="C60" s="9">
        <v>44781.0</v>
      </c>
      <c r="D60" s="7">
        <v>3.0</v>
      </c>
      <c r="E60" s="7" t="s">
        <v>53</v>
      </c>
      <c r="F60" s="7" t="s">
        <v>80</v>
      </c>
      <c r="G60" s="7" t="s">
        <v>55</v>
      </c>
      <c r="H60" s="12" t="s">
        <v>1124</v>
      </c>
      <c r="I60" s="12" t="s">
        <v>897</v>
      </c>
    </row>
    <row r="61" ht="15.75" customHeight="1">
      <c r="A61" s="11" t="s">
        <v>49</v>
      </c>
      <c r="B61" s="7">
        <v>213313.0</v>
      </c>
      <c r="C61" s="9">
        <v>44775.0</v>
      </c>
      <c r="D61" s="7">
        <v>2.0</v>
      </c>
      <c r="E61" s="7" t="s">
        <v>53</v>
      </c>
      <c r="F61" s="7" t="s">
        <v>80</v>
      </c>
      <c r="G61" s="7" t="s">
        <v>55</v>
      </c>
      <c r="H61" s="12" t="s">
        <v>1129</v>
      </c>
      <c r="I61" s="12" t="s">
        <v>1130</v>
      </c>
    </row>
    <row r="62" ht="15.75" customHeight="1">
      <c r="A62" s="11" t="s">
        <v>49</v>
      </c>
      <c r="B62" s="7">
        <v>1085131.0</v>
      </c>
      <c r="C62" s="9">
        <v>44767.0</v>
      </c>
      <c r="D62" s="7">
        <v>7.0</v>
      </c>
      <c r="E62" s="7" t="s">
        <v>53</v>
      </c>
      <c r="F62" s="7" t="s">
        <v>66</v>
      </c>
      <c r="G62" s="7" t="s">
        <v>55</v>
      </c>
      <c r="H62" s="12" t="s">
        <v>1131</v>
      </c>
      <c r="I62" s="12" t="s">
        <v>1132</v>
      </c>
    </row>
    <row r="63" ht="15.75" customHeight="1">
      <c r="A63" s="11" t="s">
        <v>49</v>
      </c>
      <c r="B63" s="7">
        <v>974825.0</v>
      </c>
      <c r="C63" s="9">
        <v>44767.0</v>
      </c>
      <c r="D63" s="7">
        <v>1.0</v>
      </c>
      <c r="E63" s="7" t="s">
        <v>53</v>
      </c>
      <c r="F63" s="7" t="s">
        <v>110</v>
      </c>
      <c r="G63" s="7" t="s">
        <v>55</v>
      </c>
      <c r="H63" s="12" t="s">
        <v>1133</v>
      </c>
      <c r="I63" s="12" t="s">
        <v>738</v>
      </c>
    </row>
    <row r="64" ht="15.75" customHeight="1">
      <c r="A64" s="11" t="s">
        <v>49</v>
      </c>
      <c r="B64" s="7">
        <v>752501.0</v>
      </c>
      <c r="C64" s="9">
        <v>44766.0</v>
      </c>
      <c r="D64" s="7">
        <v>1.0</v>
      </c>
      <c r="E64" s="7" t="s">
        <v>79</v>
      </c>
      <c r="F64" s="7" t="s">
        <v>80</v>
      </c>
      <c r="G64" s="7" t="s">
        <v>55</v>
      </c>
      <c r="H64" s="12" t="s">
        <v>1135</v>
      </c>
      <c r="I64" s="12" t="s">
        <v>1136</v>
      </c>
    </row>
    <row r="65" ht="15.75" customHeight="1">
      <c r="A65" s="11" t="s">
        <v>49</v>
      </c>
      <c r="B65" s="7">
        <v>376132.0</v>
      </c>
      <c r="C65" s="9">
        <v>44758.0</v>
      </c>
      <c r="D65" s="7">
        <v>1.0</v>
      </c>
      <c r="E65" s="7" t="s">
        <v>53</v>
      </c>
      <c r="F65" s="7" t="s">
        <v>66</v>
      </c>
      <c r="G65" s="7" t="s">
        <v>55</v>
      </c>
      <c r="H65" s="12" t="s">
        <v>1137</v>
      </c>
      <c r="I65" s="12" t="s">
        <v>1138</v>
      </c>
    </row>
    <row r="66" ht="15.75" customHeight="1">
      <c r="A66" s="11" t="s">
        <v>49</v>
      </c>
      <c r="B66" s="7">
        <v>331376.0</v>
      </c>
      <c r="C66" s="9">
        <v>44754.0</v>
      </c>
      <c r="D66" s="7">
        <v>8.0</v>
      </c>
      <c r="E66" s="7" t="s">
        <v>53</v>
      </c>
      <c r="F66" s="7" t="s">
        <v>80</v>
      </c>
      <c r="G66" s="7" t="s">
        <v>55</v>
      </c>
      <c r="H66" s="12" t="s">
        <v>1139</v>
      </c>
      <c r="I66" s="12" t="s">
        <v>1140</v>
      </c>
    </row>
    <row r="67" ht="15.75" customHeight="1">
      <c r="A67" s="11" t="s">
        <v>49</v>
      </c>
      <c r="B67" s="7">
        <v>414998.0</v>
      </c>
      <c r="C67" s="9">
        <v>44749.0</v>
      </c>
      <c r="D67" s="7">
        <v>7.0</v>
      </c>
      <c r="E67" s="7" t="s">
        <v>79</v>
      </c>
      <c r="F67" s="7" t="s">
        <v>110</v>
      </c>
      <c r="G67" s="7" t="s">
        <v>55</v>
      </c>
      <c r="H67" s="12" t="s">
        <v>1141</v>
      </c>
      <c r="I67" s="12" t="s">
        <v>1142</v>
      </c>
    </row>
    <row r="68" ht="15.75" customHeight="1">
      <c r="A68" s="11" t="s">
        <v>49</v>
      </c>
      <c r="B68" s="7">
        <v>1284064.0</v>
      </c>
      <c r="C68" s="9">
        <v>44747.0</v>
      </c>
      <c r="D68" s="7">
        <v>4.0</v>
      </c>
      <c r="E68" s="7" t="s">
        <v>53</v>
      </c>
      <c r="F68" s="7" t="s">
        <v>66</v>
      </c>
      <c r="G68" s="7" t="s">
        <v>55</v>
      </c>
      <c r="H68" s="12" t="s">
        <v>1143</v>
      </c>
      <c r="I68" s="12" t="s">
        <v>1144</v>
      </c>
    </row>
    <row r="69" ht="15.75" customHeight="1">
      <c r="A69" s="11" t="s">
        <v>49</v>
      </c>
      <c r="B69" s="7">
        <v>1286847.0</v>
      </c>
      <c r="C69" s="9">
        <v>44747.0</v>
      </c>
      <c r="D69" s="7">
        <v>9.0</v>
      </c>
      <c r="E69" s="7" t="s">
        <v>53</v>
      </c>
      <c r="F69" s="7" t="s">
        <v>80</v>
      </c>
      <c r="G69" s="7" t="s">
        <v>55</v>
      </c>
      <c r="H69" s="12" t="s">
        <v>1145</v>
      </c>
      <c r="I69" s="12" t="s">
        <v>1146</v>
      </c>
    </row>
    <row r="70" ht="15.75" customHeight="1">
      <c r="A70" s="11" t="s">
        <v>49</v>
      </c>
      <c r="B70" s="7">
        <v>277060.0</v>
      </c>
      <c r="C70" s="9">
        <v>44742.0</v>
      </c>
      <c r="D70" s="7">
        <v>1.0</v>
      </c>
      <c r="E70" s="7" t="s">
        <v>53</v>
      </c>
      <c r="F70" s="7" t="s">
        <v>66</v>
      </c>
      <c r="G70" s="7" t="s">
        <v>55</v>
      </c>
      <c r="H70" s="12" t="s">
        <v>1147</v>
      </c>
      <c r="I70" s="12" t="s">
        <v>745</v>
      </c>
    </row>
    <row r="71" ht="15.75" customHeight="1">
      <c r="A71" s="11" t="s">
        <v>49</v>
      </c>
      <c r="B71" s="7">
        <v>116710.0</v>
      </c>
      <c r="C71" s="9">
        <v>44739.0</v>
      </c>
      <c r="D71" s="7">
        <v>4.0</v>
      </c>
      <c r="E71" s="7" t="s">
        <v>82</v>
      </c>
      <c r="F71" s="7" t="s">
        <v>647</v>
      </c>
      <c r="G71" s="7" t="s">
        <v>55</v>
      </c>
      <c r="H71" s="12" t="s">
        <v>1148</v>
      </c>
      <c r="I71" s="12" t="s">
        <v>1149</v>
      </c>
    </row>
    <row r="72" ht="15.75" customHeight="1">
      <c r="A72" s="11" t="s">
        <v>49</v>
      </c>
      <c r="B72" s="7">
        <v>388070.0</v>
      </c>
      <c r="C72" s="9">
        <v>44739.0</v>
      </c>
      <c r="D72" s="7">
        <v>1.0</v>
      </c>
      <c r="E72" s="7" t="s">
        <v>53</v>
      </c>
      <c r="F72" s="7" t="s">
        <v>66</v>
      </c>
      <c r="G72" s="7" t="s">
        <v>55</v>
      </c>
      <c r="H72" s="12" t="s">
        <v>1150</v>
      </c>
      <c r="I72" s="12" t="s">
        <v>1151</v>
      </c>
    </row>
    <row r="73" ht="15.75" customHeight="1">
      <c r="A73" s="11" t="s">
        <v>49</v>
      </c>
      <c r="B73" s="7">
        <v>419582.0</v>
      </c>
      <c r="C73" s="9">
        <v>44738.0</v>
      </c>
      <c r="D73" s="7">
        <v>7.0</v>
      </c>
      <c r="E73" s="7" t="s">
        <v>53</v>
      </c>
      <c r="F73" s="7" t="s">
        <v>66</v>
      </c>
      <c r="G73" s="7" t="s">
        <v>55</v>
      </c>
      <c r="H73" s="12" t="s">
        <v>1152</v>
      </c>
      <c r="I73" s="12" t="s">
        <v>1153</v>
      </c>
    </row>
    <row r="74" ht="15.75" customHeight="1">
      <c r="A74" s="11" t="s">
        <v>49</v>
      </c>
      <c r="B74" s="7">
        <v>957293.0</v>
      </c>
      <c r="C74" s="9">
        <v>44734.0</v>
      </c>
      <c r="D74" s="7">
        <v>1.0</v>
      </c>
      <c r="E74" s="7" t="s">
        <v>53</v>
      </c>
      <c r="F74" s="7" t="s">
        <v>66</v>
      </c>
      <c r="G74" s="7" t="s">
        <v>55</v>
      </c>
      <c r="H74" s="12" t="s">
        <v>1154</v>
      </c>
      <c r="I74" s="12" t="s">
        <v>1155</v>
      </c>
    </row>
    <row r="75" ht="15.75" customHeight="1">
      <c r="A75" s="11" t="s">
        <v>49</v>
      </c>
      <c r="B75" s="7">
        <v>697377.0</v>
      </c>
      <c r="C75" s="9">
        <v>44732.0</v>
      </c>
      <c r="D75" s="7">
        <v>5.0</v>
      </c>
      <c r="E75" s="7" t="s">
        <v>53</v>
      </c>
      <c r="F75" s="7" t="s">
        <v>66</v>
      </c>
      <c r="G75" s="7" t="s">
        <v>55</v>
      </c>
      <c r="H75" s="12" t="s">
        <v>1156</v>
      </c>
      <c r="I75" s="12" t="s">
        <v>1157</v>
      </c>
    </row>
    <row r="76" ht="15.75" customHeight="1">
      <c r="A76" s="11" t="s">
        <v>49</v>
      </c>
      <c r="B76" s="7">
        <v>156726.0</v>
      </c>
      <c r="C76" s="9">
        <v>44731.0</v>
      </c>
      <c r="D76" s="7">
        <v>7.0</v>
      </c>
      <c r="E76" s="7" t="s">
        <v>53</v>
      </c>
      <c r="F76" s="7" t="s">
        <v>80</v>
      </c>
      <c r="G76" s="7" t="s">
        <v>55</v>
      </c>
      <c r="H76" s="12" t="s">
        <v>1158</v>
      </c>
      <c r="I76" s="12" t="s">
        <v>705</v>
      </c>
    </row>
    <row r="77" ht="15.75" customHeight="1">
      <c r="A77" s="11" t="s">
        <v>49</v>
      </c>
      <c r="B77" s="7">
        <v>749178.0</v>
      </c>
      <c r="C77" s="9">
        <v>44726.0</v>
      </c>
      <c r="D77" s="7">
        <v>1.0</v>
      </c>
      <c r="E77" s="7" t="s">
        <v>53</v>
      </c>
      <c r="F77" s="7" t="s">
        <v>66</v>
      </c>
      <c r="G77" s="7" t="s">
        <v>55</v>
      </c>
      <c r="H77" s="12" t="s">
        <v>1159</v>
      </c>
      <c r="I77" s="12" t="s">
        <v>226</v>
      </c>
    </row>
    <row r="78" ht="15.75" customHeight="1">
      <c r="A78" s="11" t="s">
        <v>49</v>
      </c>
      <c r="B78" s="7">
        <v>1041088.0</v>
      </c>
      <c r="C78" s="9">
        <v>44713.0</v>
      </c>
      <c r="D78" s="7">
        <v>4.0</v>
      </c>
      <c r="E78" s="7" t="s">
        <v>82</v>
      </c>
      <c r="F78" s="7" t="s">
        <v>83</v>
      </c>
      <c r="G78" s="7" t="s">
        <v>55</v>
      </c>
      <c r="H78" s="12" t="s">
        <v>1160</v>
      </c>
      <c r="I78" s="12" t="s">
        <v>822</v>
      </c>
    </row>
    <row r="79" ht="15.75" customHeight="1">
      <c r="A79" s="11" t="s">
        <v>49</v>
      </c>
      <c r="B79" s="7">
        <v>188134.0</v>
      </c>
      <c r="C79" s="9">
        <v>44711.0</v>
      </c>
      <c r="D79" s="7">
        <v>5.0</v>
      </c>
      <c r="E79" s="7" t="s">
        <v>79</v>
      </c>
      <c r="F79" s="7" t="s">
        <v>124</v>
      </c>
      <c r="G79" s="7" t="s">
        <v>55</v>
      </c>
      <c r="H79" s="12" t="s">
        <v>1161</v>
      </c>
      <c r="I79" s="12" t="s">
        <v>1162</v>
      </c>
    </row>
    <row r="80" ht="15.75" customHeight="1">
      <c r="A80" s="11" t="s">
        <v>49</v>
      </c>
      <c r="B80" s="7">
        <v>566175.0</v>
      </c>
      <c r="C80" s="9">
        <v>44706.0</v>
      </c>
      <c r="D80" s="7">
        <v>7.0</v>
      </c>
      <c r="E80" s="7" t="s">
        <v>82</v>
      </c>
      <c r="F80" s="7" t="s">
        <v>110</v>
      </c>
      <c r="G80" s="7" t="s">
        <v>55</v>
      </c>
      <c r="H80" s="12" t="s">
        <v>1163</v>
      </c>
      <c r="I80" s="12" t="s">
        <v>1164</v>
      </c>
    </row>
    <row r="81" ht="15.75" customHeight="1">
      <c r="A81" s="11" t="s">
        <v>49</v>
      </c>
      <c r="B81" s="7">
        <v>89701.0</v>
      </c>
      <c r="C81" s="9">
        <v>44705.0</v>
      </c>
      <c r="D81" s="7">
        <v>1.0</v>
      </c>
      <c r="E81" s="7" t="s">
        <v>53</v>
      </c>
      <c r="F81" s="7" t="s">
        <v>80</v>
      </c>
      <c r="G81" s="7" t="s">
        <v>55</v>
      </c>
      <c r="H81" s="12" t="s">
        <v>1165</v>
      </c>
      <c r="I81" s="12" t="s">
        <v>1166</v>
      </c>
    </row>
    <row r="82" ht="15.75" customHeight="1">
      <c r="A82" s="11" t="s">
        <v>49</v>
      </c>
      <c r="B82" s="7">
        <v>264154.0</v>
      </c>
      <c r="C82" s="9">
        <v>44686.0</v>
      </c>
      <c r="D82" s="7">
        <v>6.0</v>
      </c>
      <c r="E82" s="7" t="s">
        <v>53</v>
      </c>
      <c r="F82" s="7" t="s">
        <v>66</v>
      </c>
      <c r="G82" s="7" t="s">
        <v>55</v>
      </c>
      <c r="H82" s="12" t="s">
        <v>1167</v>
      </c>
      <c r="I82" s="12" t="s">
        <v>1168</v>
      </c>
    </row>
    <row r="83" ht="15.75" customHeight="1">
      <c r="A83" s="11" t="s">
        <v>49</v>
      </c>
      <c r="B83" s="7">
        <v>999293.0</v>
      </c>
      <c r="C83" s="9">
        <v>44683.0</v>
      </c>
      <c r="D83" s="7">
        <v>6.0</v>
      </c>
      <c r="E83" s="7" t="s">
        <v>53</v>
      </c>
      <c r="F83" s="7" t="s">
        <v>66</v>
      </c>
      <c r="G83" s="7" t="s">
        <v>55</v>
      </c>
      <c r="H83" s="12" t="s">
        <v>1169</v>
      </c>
      <c r="I83" s="12" t="s">
        <v>1170</v>
      </c>
    </row>
    <row r="84" ht="15.75" customHeight="1">
      <c r="A84" s="11" t="s">
        <v>49</v>
      </c>
      <c r="B84" s="7">
        <v>463944.0</v>
      </c>
      <c r="C84" s="9">
        <v>44680.0</v>
      </c>
      <c r="D84" s="7">
        <v>6.0</v>
      </c>
      <c r="E84" s="7" t="s">
        <v>53</v>
      </c>
      <c r="F84" s="7" t="s">
        <v>80</v>
      </c>
      <c r="G84" s="7" t="s">
        <v>55</v>
      </c>
      <c r="H84" s="12" t="s">
        <v>1171</v>
      </c>
      <c r="I84" s="12" t="s">
        <v>1172</v>
      </c>
    </row>
    <row r="85" ht="15.75" customHeight="1">
      <c r="A85" s="11" t="s">
        <v>49</v>
      </c>
      <c r="B85" s="7">
        <v>859206.0</v>
      </c>
      <c r="C85" s="9">
        <v>44678.0</v>
      </c>
      <c r="D85" s="7">
        <v>1.0</v>
      </c>
      <c r="E85" s="7" t="s">
        <v>79</v>
      </c>
      <c r="F85" s="7" t="s">
        <v>80</v>
      </c>
      <c r="G85" s="7" t="s">
        <v>55</v>
      </c>
      <c r="H85" s="12" t="s">
        <v>1173</v>
      </c>
      <c r="I85" s="12" t="s">
        <v>1174</v>
      </c>
    </row>
    <row r="86" ht="15.75" customHeight="1">
      <c r="A86" s="11" t="s">
        <v>49</v>
      </c>
      <c r="B86" s="7">
        <v>585972.0</v>
      </c>
      <c r="C86" s="9">
        <v>44676.0</v>
      </c>
      <c r="D86" s="7">
        <v>2.0</v>
      </c>
      <c r="E86" s="7" t="s">
        <v>53</v>
      </c>
      <c r="F86" s="7" t="s">
        <v>66</v>
      </c>
      <c r="G86" s="7" t="s">
        <v>55</v>
      </c>
      <c r="H86" s="12" t="s">
        <v>1175</v>
      </c>
      <c r="I86" s="12" t="s">
        <v>1176</v>
      </c>
    </row>
    <row r="87" ht="15.75" customHeight="1">
      <c r="A87" s="11" t="s">
        <v>49</v>
      </c>
      <c r="B87" s="7">
        <v>331376.0</v>
      </c>
      <c r="C87" s="9">
        <v>44665.0</v>
      </c>
      <c r="D87" s="7">
        <v>7.0</v>
      </c>
      <c r="E87" s="7" t="s">
        <v>53</v>
      </c>
      <c r="F87" s="7" t="s">
        <v>80</v>
      </c>
      <c r="G87" s="7" t="s">
        <v>55</v>
      </c>
      <c r="H87" s="12" t="s">
        <v>1177</v>
      </c>
      <c r="I87" s="12" t="s">
        <v>1178</v>
      </c>
    </row>
    <row r="88" ht="15.75" customHeight="1">
      <c r="A88" s="11" t="s">
        <v>49</v>
      </c>
      <c r="B88" s="7">
        <v>657896.0</v>
      </c>
      <c r="C88" s="9">
        <v>44658.0</v>
      </c>
      <c r="D88" s="7">
        <v>3.0</v>
      </c>
      <c r="E88" s="7" t="s">
        <v>79</v>
      </c>
      <c r="F88" s="7" t="s">
        <v>110</v>
      </c>
      <c r="G88" s="7" t="s">
        <v>55</v>
      </c>
      <c r="H88" s="12" t="s">
        <v>1179</v>
      </c>
      <c r="I88" s="12" t="s">
        <v>1180</v>
      </c>
    </row>
    <row r="89" ht="15.75" customHeight="1">
      <c r="A89" s="11" t="s">
        <v>49</v>
      </c>
      <c r="B89" s="7">
        <v>543948.0</v>
      </c>
      <c r="C89" s="9">
        <v>44646.0</v>
      </c>
      <c r="D89" s="7">
        <v>3.0</v>
      </c>
      <c r="E89" s="7" t="s">
        <v>79</v>
      </c>
      <c r="F89" s="7" t="s">
        <v>80</v>
      </c>
      <c r="G89" s="7" t="s">
        <v>55</v>
      </c>
      <c r="H89" s="12" t="s">
        <v>1181</v>
      </c>
      <c r="I89" s="12" t="s">
        <v>1182</v>
      </c>
    </row>
    <row r="90" ht="15.75" customHeight="1">
      <c r="A90" s="11" t="s">
        <v>49</v>
      </c>
      <c r="B90" s="7">
        <v>156726.0</v>
      </c>
      <c r="C90" s="9">
        <v>44640.0</v>
      </c>
      <c r="D90" s="7">
        <v>7.0</v>
      </c>
      <c r="E90" s="7" t="s">
        <v>53</v>
      </c>
      <c r="F90" s="7" t="s">
        <v>80</v>
      </c>
      <c r="G90" s="7" t="s">
        <v>55</v>
      </c>
      <c r="H90" s="12" t="s">
        <v>1183</v>
      </c>
      <c r="I90" s="12" t="s">
        <v>1184</v>
      </c>
    </row>
    <row r="91" ht="15.75" customHeight="1">
      <c r="A91" s="11" t="s">
        <v>49</v>
      </c>
      <c r="B91" s="7">
        <v>405553.0</v>
      </c>
      <c r="C91" s="9">
        <v>44638.0</v>
      </c>
      <c r="D91" s="7">
        <v>7.0</v>
      </c>
      <c r="E91" s="7" t="s">
        <v>53</v>
      </c>
      <c r="F91" s="7" t="s">
        <v>66</v>
      </c>
      <c r="G91" s="7" t="s">
        <v>55</v>
      </c>
      <c r="H91" s="12" t="s">
        <v>1185</v>
      </c>
      <c r="I91" s="12" t="s">
        <v>1186</v>
      </c>
    </row>
    <row r="92" ht="15.75" customHeight="1">
      <c r="A92" s="11" t="s">
        <v>49</v>
      </c>
      <c r="B92" s="7">
        <v>290624.0</v>
      </c>
      <c r="C92" s="9">
        <v>44634.0</v>
      </c>
      <c r="D92" s="7">
        <v>1.0</v>
      </c>
      <c r="E92" s="7" t="s">
        <v>53</v>
      </c>
      <c r="F92" s="7" t="s">
        <v>66</v>
      </c>
      <c r="G92" s="7" t="s">
        <v>55</v>
      </c>
      <c r="H92" s="12" t="s">
        <v>1187</v>
      </c>
      <c r="I92" s="12" t="s">
        <v>1188</v>
      </c>
    </row>
    <row r="93" ht="15.75" customHeight="1">
      <c r="A93" s="11" t="s">
        <v>49</v>
      </c>
      <c r="B93" s="7">
        <v>188134.0</v>
      </c>
      <c r="C93" s="9">
        <v>44623.0</v>
      </c>
      <c r="D93" s="7">
        <v>5.0</v>
      </c>
      <c r="E93" s="7" t="s">
        <v>79</v>
      </c>
      <c r="F93" s="7" t="s">
        <v>124</v>
      </c>
      <c r="G93" s="7" t="s">
        <v>55</v>
      </c>
      <c r="H93" s="12" t="s">
        <v>1189</v>
      </c>
      <c r="I93" s="12" t="s">
        <v>1190</v>
      </c>
    </row>
    <row r="94" ht="15.75" customHeight="1">
      <c r="A94" s="11" t="s">
        <v>49</v>
      </c>
      <c r="B94" s="7">
        <v>525161.0</v>
      </c>
      <c r="C94" s="9">
        <v>44619.0</v>
      </c>
      <c r="D94" s="7">
        <v>6.0</v>
      </c>
      <c r="E94" s="7" t="s">
        <v>53</v>
      </c>
      <c r="F94" s="7" t="s">
        <v>66</v>
      </c>
      <c r="G94" s="7" t="s">
        <v>55</v>
      </c>
      <c r="H94" s="12" t="s">
        <v>1191</v>
      </c>
      <c r="I94" s="12" t="s">
        <v>1192</v>
      </c>
    </row>
    <row r="95" ht="15.75" customHeight="1">
      <c r="A95" s="11" t="s">
        <v>49</v>
      </c>
      <c r="B95" s="7">
        <v>277060.0</v>
      </c>
      <c r="C95" s="9">
        <v>44609.0</v>
      </c>
      <c r="D95" s="7">
        <v>1.0</v>
      </c>
      <c r="E95" s="7" t="s">
        <v>53</v>
      </c>
      <c r="F95" s="7" t="s">
        <v>66</v>
      </c>
      <c r="G95" s="7" t="s">
        <v>55</v>
      </c>
      <c r="H95" s="12" t="s">
        <v>1193</v>
      </c>
      <c r="I95" s="12" t="s">
        <v>1194</v>
      </c>
    </row>
    <row r="96" ht="15.75" customHeight="1">
      <c r="A96" s="11" t="s">
        <v>49</v>
      </c>
      <c r="B96" s="7">
        <v>524971.0</v>
      </c>
      <c r="C96" s="9">
        <v>44608.0</v>
      </c>
      <c r="D96" s="7">
        <v>5.0</v>
      </c>
      <c r="E96" s="7" t="s">
        <v>53</v>
      </c>
      <c r="F96" s="7" t="s">
        <v>66</v>
      </c>
      <c r="G96" s="7" t="s">
        <v>55</v>
      </c>
      <c r="H96" s="12" t="s">
        <v>1195</v>
      </c>
      <c r="I96" s="12" t="s">
        <v>871</v>
      </c>
    </row>
    <row r="97" ht="15.75" customHeight="1">
      <c r="A97" s="11" t="s">
        <v>49</v>
      </c>
      <c r="B97" s="7">
        <v>778511.0</v>
      </c>
      <c r="C97" s="9">
        <v>44597.0</v>
      </c>
      <c r="D97" s="7">
        <v>7.0</v>
      </c>
      <c r="E97" s="7" t="s">
        <v>82</v>
      </c>
      <c r="F97" s="7" t="s">
        <v>110</v>
      </c>
      <c r="G97" s="7" t="s">
        <v>55</v>
      </c>
      <c r="H97" s="12" t="s">
        <v>1196</v>
      </c>
      <c r="I97" s="12" t="s">
        <v>1197</v>
      </c>
    </row>
    <row r="98" ht="15.75" customHeight="1">
      <c r="A98" s="11" t="s">
        <v>49</v>
      </c>
      <c r="B98" s="7">
        <v>444132.0</v>
      </c>
      <c r="C98" s="9">
        <v>44596.0</v>
      </c>
      <c r="D98" s="7">
        <v>5.0</v>
      </c>
      <c r="E98" s="7" t="s">
        <v>53</v>
      </c>
      <c r="F98" s="7" t="s">
        <v>80</v>
      </c>
      <c r="G98" s="7" t="s">
        <v>55</v>
      </c>
      <c r="H98" s="12" t="s">
        <v>1198</v>
      </c>
      <c r="I98" s="12" t="s">
        <v>1199</v>
      </c>
    </row>
    <row r="99" ht="15.75" customHeight="1">
      <c r="A99" s="11" t="s">
        <v>49</v>
      </c>
      <c r="B99" s="7">
        <v>376132.0</v>
      </c>
      <c r="C99" s="9">
        <v>44579.0</v>
      </c>
      <c r="D99" s="7">
        <v>5.0</v>
      </c>
      <c r="E99" s="7" t="s">
        <v>53</v>
      </c>
      <c r="F99" s="7" t="s">
        <v>66</v>
      </c>
      <c r="G99" s="7" t="s">
        <v>55</v>
      </c>
      <c r="H99" s="12" t="s">
        <v>1200</v>
      </c>
      <c r="I99" s="12" t="s">
        <v>1201</v>
      </c>
    </row>
    <row r="100" ht="15.75" customHeight="1">
      <c r="A100" s="11" t="s">
        <v>49</v>
      </c>
      <c r="B100" s="7">
        <v>372478.0</v>
      </c>
      <c r="C100" s="9">
        <v>44578.0</v>
      </c>
      <c r="D100" s="7">
        <v>8.0</v>
      </c>
      <c r="E100" s="7" t="s">
        <v>79</v>
      </c>
      <c r="F100" s="7" t="s">
        <v>110</v>
      </c>
      <c r="G100" s="7" t="s">
        <v>55</v>
      </c>
      <c r="H100" s="12" t="s">
        <v>1202</v>
      </c>
      <c r="I100" s="12" t="s">
        <v>1203</v>
      </c>
    </row>
    <row r="101" ht="15.75" customHeight="1">
      <c r="A101" s="11" t="s">
        <v>49</v>
      </c>
      <c r="B101" s="7">
        <v>237211.0</v>
      </c>
      <c r="C101" s="9">
        <v>44574.0</v>
      </c>
      <c r="D101" s="7">
        <v>2.0</v>
      </c>
      <c r="E101" s="7" t="s">
        <v>53</v>
      </c>
      <c r="F101" s="7" t="s">
        <v>66</v>
      </c>
      <c r="G101" s="7" t="s">
        <v>55</v>
      </c>
      <c r="H101" s="12" t="s">
        <v>1204</v>
      </c>
      <c r="I101" s="12" t="s">
        <v>1205</v>
      </c>
    </row>
    <row r="102" ht="15.75" customHeight="1">
      <c r="A102" s="11" t="s">
        <v>49</v>
      </c>
      <c r="B102" s="7">
        <v>290624.0</v>
      </c>
      <c r="C102" s="9">
        <v>44552.0</v>
      </c>
      <c r="D102" s="7">
        <v>3.0</v>
      </c>
      <c r="E102" s="7" t="s">
        <v>53</v>
      </c>
      <c r="F102" s="7" t="s">
        <v>66</v>
      </c>
      <c r="G102" s="7" t="s">
        <v>55</v>
      </c>
      <c r="H102" s="12" t="s">
        <v>1206</v>
      </c>
      <c r="I102" s="12" t="s">
        <v>1207</v>
      </c>
    </row>
    <row r="103" ht="15.75" customHeight="1">
      <c r="A103" s="11" t="s">
        <v>49</v>
      </c>
      <c r="B103" s="7">
        <v>578423.0</v>
      </c>
      <c r="C103" s="9">
        <v>44549.0</v>
      </c>
      <c r="D103" s="7">
        <v>10.0</v>
      </c>
      <c r="E103" s="7" t="s">
        <v>82</v>
      </c>
      <c r="F103" s="7" t="s">
        <v>110</v>
      </c>
      <c r="G103" s="7" t="s">
        <v>55</v>
      </c>
      <c r="H103" s="12" t="s">
        <v>1208</v>
      </c>
      <c r="I103" s="12" t="s">
        <v>1209</v>
      </c>
    </row>
    <row r="104" ht="15.75" customHeight="1">
      <c r="A104" s="11" t="s">
        <v>49</v>
      </c>
      <c r="B104" s="7">
        <v>220401.0</v>
      </c>
      <c r="C104" s="9">
        <v>44546.0</v>
      </c>
      <c r="D104" s="7">
        <v>7.0</v>
      </c>
      <c r="E104" s="7" t="s">
        <v>53</v>
      </c>
      <c r="F104" s="7" t="s">
        <v>80</v>
      </c>
      <c r="G104" s="7" t="s">
        <v>55</v>
      </c>
      <c r="H104" s="12" t="s">
        <v>1210</v>
      </c>
      <c r="I104" s="12" t="s">
        <v>1211</v>
      </c>
    </row>
    <row r="105" ht="15.75" customHeight="1">
      <c r="A105" s="11" t="s">
        <v>49</v>
      </c>
      <c r="B105" s="7">
        <v>317424.0</v>
      </c>
      <c r="C105" s="9">
        <v>44543.0</v>
      </c>
      <c r="D105" s="7">
        <v>6.0</v>
      </c>
      <c r="E105" s="7" t="s">
        <v>53</v>
      </c>
      <c r="F105" s="7" t="s">
        <v>66</v>
      </c>
      <c r="G105" s="7" t="s">
        <v>55</v>
      </c>
      <c r="H105" s="12" t="s">
        <v>1212</v>
      </c>
      <c r="I105" s="12" t="s">
        <v>1213</v>
      </c>
    </row>
    <row r="106" ht="15.75" customHeight="1">
      <c r="A106" s="11" t="s">
        <v>49</v>
      </c>
      <c r="B106" s="7">
        <v>588395.0</v>
      </c>
      <c r="C106" s="9">
        <v>44538.0</v>
      </c>
      <c r="D106" s="7">
        <v>1.0</v>
      </c>
      <c r="E106" s="7" t="s">
        <v>53</v>
      </c>
      <c r="F106" s="7" t="s">
        <v>66</v>
      </c>
      <c r="G106" s="7" t="s">
        <v>55</v>
      </c>
      <c r="H106" s="12" t="s">
        <v>1214</v>
      </c>
      <c r="I106" s="12" t="s">
        <v>1215</v>
      </c>
    </row>
    <row r="107" ht="15.75" customHeight="1">
      <c r="A107" s="11" t="s">
        <v>49</v>
      </c>
      <c r="B107" s="7">
        <v>392763.0</v>
      </c>
      <c r="C107" s="9">
        <v>44537.0</v>
      </c>
      <c r="D107" s="7">
        <v>8.0</v>
      </c>
      <c r="E107" s="7" t="s">
        <v>53</v>
      </c>
      <c r="F107" s="7" t="s">
        <v>66</v>
      </c>
      <c r="G107" s="7" t="s">
        <v>55</v>
      </c>
      <c r="H107" s="12" t="s">
        <v>1216</v>
      </c>
      <c r="I107" s="12" t="s">
        <v>1217</v>
      </c>
    </row>
    <row r="108" ht="15.75" customHeight="1">
      <c r="A108" s="11" t="s">
        <v>49</v>
      </c>
      <c r="B108" s="7">
        <v>464093.0</v>
      </c>
      <c r="C108" s="9">
        <v>44531.0</v>
      </c>
      <c r="D108" s="7">
        <v>10.0</v>
      </c>
      <c r="E108" s="7" t="s">
        <v>53</v>
      </c>
      <c r="F108" s="7" t="s">
        <v>80</v>
      </c>
      <c r="G108" s="7" t="s">
        <v>55</v>
      </c>
      <c r="H108" s="12" t="s">
        <v>1222</v>
      </c>
      <c r="I108" s="12" t="s">
        <v>1223</v>
      </c>
    </row>
    <row r="109" ht="15.75" customHeight="1">
      <c r="A109" s="11" t="s">
        <v>49</v>
      </c>
      <c r="B109" s="7">
        <v>277060.0</v>
      </c>
      <c r="C109" s="9">
        <v>44518.0</v>
      </c>
      <c r="D109" s="7">
        <v>1.0</v>
      </c>
      <c r="E109" s="7" t="s">
        <v>53</v>
      </c>
      <c r="F109" s="7" t="s">
        <v>66</v>
      </c>
      <c r="G109" s="7" t="s">
        <v>55</v>
      </c>
      <c r="H109" s="12" t="s">
        <v>1226</v>
      </c>
      <c r="I109" s="12" t="s">
        <v>763</v>
      </c>
    </row>
    <row r="110" ht="15.75" customHeight="1">
      <c r="A110" s="11" t="s">
        <v>49</v>
      </c>
      <c r="B110" s="7">
        <v>430375.0</v>
      </c>
      <c r="C110" s="9">
        <v>44517.0</v>
      </c>
      <c r="D110" s="7">
        <v>3.0</v>
      </c>
      <c r="E110" s="7" t="s">
        <v>79</v>
      </c>
      <c r="F110" s="7" t="s">
        <v>110</v>
      </c>
      <c r="G110" s="7" t="s">
        <v>55</v>
      </c>
      <c r="H110" s="12" t="s">
        <v>1230</v>
      </c>
      <c r="I110" s="12" t="s">
        <v>1231</v>
      </c>
    </row>
    <row r="111" ht="15.75" customHeight="1">
      <c r="A111" s="11" t="s">
        <v>49</v>
      </c>
      <c r="B111" s="7">
        <v>278817.0</v>
      </c>
      <c r="C111" s="9">
        <v>44504.0</v>
      </c>
      <c r="D111" s="7">
        <v>1.0</v>
      </c>
      <c r="E111" s="7" t="s">
        <v>53</v>
      </c>
      <c r="F111" s="7" t="s">
        <v>66</v>
      </c>
      <c r="G111" s="7" t="s">
        <v>55</v>
      </c>
      <c r="H111" s="12" t="s">
        <v>1238</v>
      </c>
      <c r="I111" s="12" t="s">
        <v>1240</v>
      </c>
    </row>
    <row r="112" ht="15.75" customHeight="1">
      <c r="A112" s="11" t="s">
        <v>49</v>
      </c>
      <c r="B112" s="7">
        <v>440614.0</v>
      </c>
      <c r="C112" s="9">
        <v>44484.0</v>
      </c>
      <c r="D112" s="7">
        <v>5.0</v>
      </c>
      <c r="E112" s="7" t="s">
        <v>53</v>
      </c>
      <c r="F112" s="7" t="s">
        <v>66</v>
      </c>
      <c r="G112" s="7" t="s">
        <v>55</v>
      </c>
      <c r="H112" s="12" t="s">
        <v>1242</v>
      </c>
      <c r="I112" s="12" t="s">
        <v>772</v>
      </c>
    </row>
    <row r="113" ht="15.75" customHeight="1">
      <c r="A113" s="11" t="s">
        <v>49</v>
      </c>
      <c r="B113" s="7">
        <v>209641.0</v>
      </c>
      <c r="C113" s="9">
        <v>44476.0</v>
      </c>
      <c r="D113" s="7">
        <v>1.0</v>
      </c>
      <c r="E113" s="7" t="s">
        <v>79</v>
      </c>
      <c r="F113" s="7" t="s">
        <v>124</v>
      </c>
      <c r="G113" s="7" t="s">
        <v>55</v>
      </c>
      <c r="H113" s="12" t="s">
        <v>1245</v>
      </c>
      <c r="I113" s="12" t="s">
        <v>1248</v>
      </c>
    </row>
    <row r="114" ht="15.75" customHeight="1">
      <c r="A114" s="11" t="s">
        <v>49</v>
      </c>
      <c r="B114" s="7">
        <v>467512.0</v>
      </c>
      <c r="C114" s="9">
        <v>44474.0</v>
      </c>
      <c r="D114" s="7">
        <v>8.0</v>
      </c>
      <c r="E114" s="7" t="s">
        <v>53</v>
      </c>
      <c r="F114" s="7" t="s">
        <v>66</v>
      </c>
      <c r="G114" s="7" t="s">
        <v>55</v>
      </c>
      <c r="H114" s="12" t="s">
        <v>1250</v>
      </c>
      <c r="I114" s="12" t="s">
        <v>1251</v>
      </c>
    </row>
    <row r="115" ht="15.75" customHeight="1">
      <c r="A115" s="11" t="s">
        <v>49</v>
      </c>
      <c r="B115" s="7">
        <v>400478.0</v>
      </c>
      <c r="C115" s="9">
        <v>44473.0</v>
      </c>
      <c r="D115" s="7">
        <v>1.0</v>
      </c>
      <c r="E115" s="7" t="s">
        <v>53</v>
      </c>
      <c r="F115" s="7" t="s">
        <v>381</v>
      </c>
      <c r="G115" s="7" t="s">
        <v>55</v>
      </c>
      <c r="H115" s="12" t="s">
        <v>1254</v>
      </c>
      <c r="I115" s="12" t="s">
        <v>1255</v>
      </c>
    </row>
    <row r="116" ht="15.75" customHeight="1">
      <c r="A116" s="11" t="s">
        <v>49</v>
      </c>
      <c r="B116" s="7">
        <v>418008.0</v>
      </c>
      <c r="C116" s="9">
        <v>44472.0</v>
      </c>
      <c r="D116" s="7">
        <v>5.0</v>
      </c>
      <c r="E116" s="7" t="s">
        <v>82</v>
      </c>
      <c r="F116" s="7" t="s">
        <v>80</v>
      </c>
      <c r="G116" s="7" t="s">
        <v>55</v>
      </c>
      <c r="H116" s="12" t="s">
        <v>1257</v>
      </c>
      <c r="I116" s="12" t="s">
        <v>1259</v>
      </c>
    </row>
    <row r="117" ht="15.75" customHeight="1">
      <c r="A117" s="11" t="s">
        <v>49</v>
      </c>
      <c r="B117" s="7">
        <v>326912.0</v>
      </c>
      <c r="C117" s="9">
        <v>44468.0</v>
      </c>
      <c r="D117" s="7">
        <v>1.0</v>
      </c>
      <c r="E117" s="7" t="s">
        <v>82</v>
      </c>
      <c r="F117" s="7" t="s">
        <v>647</v>
      </c>
      <c r="G117" s="7" t="s">
        <v>55</v>
      </c>
      <c r="H117" s="12" t="s">
        <v>1263</v>
      </c>
      <c r="I117" s="12" t="s">
        <v>1265</v>
      </c>
    </row>
    <row r="118" ht="15.75" customHeight="1">
      <c r="A118" s="11" t="s">
        <v>49</v>
      </c>
      <c r="B118" s="7">
        <v>317424.0</v>
      </c>
      <c r="C118" s="9">
        <v>44449.0</v>
      </c>
      <c r="D118" s="7">
        <v>8.0</v>
      </c>
      <c r="E118" s="7" t="s">
        <v>53</v>
      </c>
      <c r="F118" s="7" t="s">
        <v>66</v>
      </c>
      <c r="G118" s="7" t="s">
        <v>55</v>
      </c>
      <c r="H118" s="12" t="s">
        <v>1267</v>
      </c>
      <c r="I118" s="12" t="s">
        <v>1267</v>
      </c>
    </row>
    <row r="119" ht="15.75" customHeight="1">
      <c r="A119" s="11" t="s">
        <v>49</v>
      </c>
      <c r="B119" s="7">
        <v>180281.0</v>
      </c>
      <c r="C119" s="9">
        <v>44446.0</v>
      </c>
      <c r="D119" s="7">
        <v>1.0</v>
      </c>
      <c r="E119" s="7" t="s">
        <v>82</v>
      </c>
      <c r="F119" s="7" t="s">
        <v>80</v>
      </c>
      <c r="G119" s="7" t="s">
        <v>55</v>
      </c>
      <c r="H119" s="12" t="s">
        <v>1270</v>
      </c>
      <c r="I119" s="12" t="s">
        <v>1271</v>
      </c>
    </row>
    <row r="120" ht="15.75" customHeight="1">
      <c r="A120" s="11" t="s">
        <v>49</v>
      </c>
      <c r="B120" s="7">
        <v>356058.0</v>
      </c>
      <c r="C120" s="9">
        <v>44439.0</v>
      </c>
      <c r="D120" s="7">
        <v>8.0</v>
      </c>
      <c r="E120" s="7" t="s">
        <v>53</v>
      </c>
      <c r="F120" s="7" t="s">
        <v>66</v>
      </c>
      <c r="G120" s="7" t="s">
        <v>55</v>
      </c>
      <c r="H120" s="12" t="s">
        <v>1273</v>
      </c>
      <c r="I120" s="12" t="s">
        <v>1274</v>
      </c>
    </row>
    <row r="121" ht="15.75" customHeight="1">
      <c r="A121" s="11" t="s">
        <v>49</v>
      </c>
      <c r="B121" s="7">
        <v>141535.0</v>
      </c>
      <c r="C121" s="9">
        <v>44435.0</v>
      </c>
      <c r="D121" s="7">
        <v>7.0</v>
      </c>
      <c r="E121" s="7" t="s">
        <v>53</v>
      </c>
      <c r="F121" s="7" t="s">
        <v>80</v>
      </c>
      <c r="G121" s="7" t="s">
        <v>55</v>
      </c>
      <c r="H121" s="12" t="s">
        <v>1276</v>
      </c>
      <c r="I121" s="12" t="s">
        <v>1277</v>
      </c>
    </row>
    <row r="122" ht="15.75" customHeight="1">
      <c r="A122" s="11" t="s">
        <v>49</v>
      </c>
      <c r="B122" s="7">
        <v>170921.0</v>
      </c>
      <c r="C122" s="9">
        <v>44433.0</v>
      </c>
      <c r="D122" s="7">
        <v>4.0</v>
      </c>
      <c r="E122" s="7" t="s">
        <v>79</v>
      </c>
      <c r="F122" s="7" t="s">
        <v>580</v>
      </c>
      <c r="G122" s="7" t="s">
        <v>55</v>
      </c>
      <c r="H122" s="12" t="s">
        <v>1280</v>
      </c>
      <c r="I122" s="12" t="s">
        <v>1281</v>
      </c>
    </row>
    <row r="123" ht="15.75" customHeight="1">
      <c r="A123" s="11" t="s">
        <v>49</v>
      </c>
      <c r="B123" s="7">
        <v>29053.0</v>
      </c>
      <c r="C123" s="9">
        <v>44427.0</v>
      </c>
      <c r="D123" s="7">
        <v>5.0</v>
      </c>
      <c r="E123" s="7" t="s">
        <v>82</v>
      </c>
      <c r="F123" s="7" t="s">
        <v>80</v>
      </c>
      <c r="G123" s="7" t="s">
        <v>55</v>
      </c>
      <c r="H123" s="12" t="s">
        <v>1283</v>
      </c>
      <c r="I123" s="12" t="s">
        <v>947</v>
      </c>
    </row>
    <row r="124" ht="15.75" customHeight="1">
      <c r="A124" s="11" t="s">
        <v>49</v>
      </c>
      <c r="B124" s="7">
        <v>277060.0</v>
      </c>
      <c r="C124" s="9">
        <v>44427.0</v>
      </c>
      <c r="D124" s="7">
        <v>1.0</v>
      </c>
      <c r="E124" s="7" t="s">
        <v>53</v>
      </c>
      <c r="F124" s="7" t="s">
        <v>66</v>
      </c>
      <c r="G124" s="7" t="s">
        <v>55</v>
      </c>
      <c r="H124" s="12" t="s">
        <v>1286</v>
      </c>
      <c r="I124" s="12" t="s">
        <v>779</v>
      </c>
    </row>
    <row r="125" ht="15.75" customHeight="1">
      <c r="A125" s="11" t="s">
        <v>49</v>
      </c>
      <c r="B125" s="7">
        <v>227738.0</v>
      </c>
      <c r="C125" s="9">
        <v>44417.0</v>
      </c>
      <c r="D125" s="7">
        <v>6.0</v>
      </c>
      <c r="E125" s="7" t="s">
        <v>53</v>
      </c>
      <c r="F125" s="7" t="s">
        <v>80</v>
      </c>
      <c r="G125" s="7" t="s">
        <v>55</v>
      </c>
      <c r="H125" s="12" t="s">
        <v>1292</v>
      </c>
      <c r="I125" s="12" t="s">
        <v>1294</v>
      </c>
    </row>
    <row r="126" ht="15.75" customHeight="1">
      <c r="A126" s="11" t="s">
        <v>49</v>
      </c>
      <c r="B126" s="7">
        <v>327227.0</v>
      </c>
      <c r="C126" s="9">
        <v>44405.0</v>
      </c>
      <c r="D126" s="7">
        <v>8.0</v>
      </c>
      <c r="E126" s="7" t="s">
        <v>82</v>
      </c>
      <c r="F126" s="7" t="s">
        <v>80</v>
      </c>
      <c r="G126" s="7" t="s">
        <v>55</v>
      </c>
      <c r="H126" s="12" t="s">
        <v>1297</v>
      </c>
      <c r="I126" s="12" t="s">
        <v>1298</v>
      </c>
    </row>
    <row r="127" ht="15.75" customHeight="1">
      <c r="A127" s="11" t="s">
        <v>49</v>
      </c>
      <c r="B127" s="7">
        <v>283949.0</v>
      </c>
      <c r="C127" s="9">
        <v>44393.0</v>
      </c>
      <c r="D127" s="7">
        <v>5.0</v>
      </c>
      <c r="E127" s="7" t="s">
        <v>53</v>
      </c>
      <c r="F127" s="7" t="s">
        <v>66</v>
      </c>
      <c r="G127" s="7" t="s">
        <v>55</v>
      </c>
      <c r="H127" s="12" t="s">
        <v>1299</v>
      </c>
      <c r="I127" s="12" t="s">
        <v>781</v>
      </c>
    </row>
    <row r="128" ht="15.75" customHeight="1">
      <c r="A128" s="11" t="s">
        <v>49</v>
      </c>
      <c r="B128" s="7">
        <v>275116.0</v>
      </c>
      <c r="C128" s="9">
        <v>44372.0</v>
      </c>
      <c r="D128" s="7">
        <v>4.0</v>
      </c>
      <c r="E128" s="7" t="s">
        <v>53</v>
      </c>
      <c r="F128" s="7" t="s">
        <v>66</v>
      </c>
      <c r="G128" s="7" t="s">
        <v>55</v>
      </c>
      <c r="H128" s="12" t="s">
        <v>1300</v>
      </c>
      <c r="I128" s="12" t="s">
        <v>1301</v>
      </c>
    </row>
    <row r="129" ht="15.75" customHeight="1">
      <c r="A129" s="11" t="s">
        <v>49</v>
      </c>
      <c r="B129" s="7">
        <v>306338.0</v>
      </c>
      <c r="C129" s="9">
        <v>44365.0</v>
      </c>
      <c r="D129" s="7">
        <v>3.0</v>
      </c>
      <c r="E129" s="7" t="s">
        <v>53</v>
      </c>
      <c r="F129" s="7" t="s">
        <v>80</v>
      </c>
      <c r="G129" s="7" t="s">
        <v>55</v>
      </c>
      <c r="H129" s="12" t="s">
        <v>1302</v>
      </c>
      <c r="I129" s="12" t="s">
        <v>1303</v>
      </c>
    </row>
    <row r="130" ht="15.75" customHeight="1">
      <c r="A130" s="11" t="s">
        <v>49</v>
      </c>
      <c r="B130" s="7">
        <v>200146.0</v>
      </c>
      <c r="C130" s="9">
        <v>44357.0</v>
      </c>
      <c r="D130" s="7">
        <v>5.0</v>
      </c>
      <c r="E130" s="7" t="s">
        <v>53</v>
      </c>
      <c r="F130" s="7" t="s">
        <v>66</v>
      </c>
      <c r="G130" s="7" t="s">
        <v>55</v>
      </c>
      <c r="H130" s="12" t="s">
        <v>1304</v>
      </c>
      <c r="I130" s="12" t="s">
        <v>783</v>
      </c>
    </row>
    <row r="131" ht="15.75" customHeight="1">
      <c r="A131" s="11" t="s">
        <v>49</v>
      </c>
      <c r="B131" s="7">
        <v>217843.0</v>
      </c>
      <c r="C131" s="9">
        <v>44351.0</v>
      </c>
      <c r="D131" s="7">
        <v>4.0</v>
      </c>
      <c r="E131" s="7" t="s">
        <v>53</v>
      </c>
      <c r="F131" s="7" t="s">
        <v>66</v>
      </c>
      <c r="G131" s="7" t="s">
        <v>55</v>
      </c>
      <c r="H131" s="12" t="s">
        <v>1305</v>
      </c>
      <c r="I131" s="12" t="s">
        <v>1306</v>
      </c>
    </row>
    <row r="132" ht="15.75" customHeight="1">
      <c r="A132" s="11" t="s">
        <v>49</v>
      </c>
      <c r="B132" s="7">
        <v>89701.0</v>
      </c>
      <c r="C132" s="9">
        <v>44350.0</v>
      </c>
      <c r="D132" s="7">
        <v>2.0</v>
      </c>
      <c r="E132" s="7" t="s">
        <v>53</v>
      </c>
      <c r="F132" s="7" t="s">
        <v>80</v>
      </c>
      <c r="G132" s="7" t="s">
        <v>55</v>
      </c>
      <c r="H132" s="12" t="s">
        <v>1307</v>
      </c>
      <c r="I132" s="12" t="s">
        <v>1308</v>
      </c>
    </row>
    <row r="133" ht="15.75" customHeight="1">
      <c r="A133" s="11" t="s">
        <v>49</v>
      </c>
      <c r="B133" s="7">
        <v>188134.0</v>
      </c>
      <c r="C133" s="9">
        <v>44350.0</v>
      </c>
      <c r="D133" s="7">
        <v>3.0</v>
      </c>
      <c r="E133" s="7" t="s">
        <v>79</v>
      </c>
      <c r="F133" s="7" t="s">
        <v>124</v>
      </c>
      <c r="G133" s="7" t="s">
        <v>55</v>
      </c>
      <c r="H133" s="12" t="s">
        <v>1309</v>
      </c>
      <c r="I133" s="12" t="s">
        <v>1310</v>
      </c>
    </row>
    <row r="134" ht="15.75" customHeight="1">
      <c r="A134" s="11" t="s">
        <v>49</v>
      </c>
      <c r="B134" s="7">
        <v>277060.0</v>
      </c>
      <c r="C134" s="9">
        <v>44336.0</v>
      </c>
      <c r="D134" s="7">
        <v>5.0</v>
      </c>
      <c r="E134" s="7" t="s">
        <v>53</v>
      </c>
      <c r="F134" s="7" t="s">
        <v>66</v>
      </c>
      <c r="G134" s="7" t="s">
        <v>55</v>
      </c>
      <c r="H134" s="12" t="s">
        <v>1311</v>
      </c>
      <c r="I134" s="12" t="s">
        <v>786</v>
      </c>
    </row>
    <row r="135" ht="15.75" customHeight="1">
      <c r="A135" s="11" t="s">
        <v>49</v>
      </c>
      <c r="B135" s="7">
        <v>29053.0</v>
      </c>
      <c r="C135" s="9">
        <v>44336.0</v>
      </c>
      <c r="D135" s="7">
        <v>6.0</v>
      </c>
      <c r="E135" s="7" t="s">
        <v>82</v>
      </c>
      <c r="F135" s="7" t="s">
        <v>80</v>
      </c>
      <c r="G135" s="7" t="s">
        <v>55</v>
      </c>
      <c r="H135" s="12" t="s">
        <v>1312</v>
      </c>
      <c r="I135" s="12" t="s">
        <v>832</v>
      </c>
    </row>
    <row r="136" ht="15.75" customHeight="1">
      <c r="A136" s="11" t="s">
        <v>49</v>
      </c>
      <c r="B136" s="7">
        <v>214995.0</v>
      </c>
      <c r="C136" s="9">
        <v>44332.0</v>
      </c>
      <c r="D136" s="7">
        <v>8.0</v>
      </c>
      <c r="E136" s="7" t="s">
        <v>79</v>
      </c>
      <c r="F136" s="7" t="s">
        <v>124</v>
      </c>
      <c r="G136" s="7" t="s">
        <v>55</v>
      </c>
      <c r="H136" s="12" t="s">
        <v>1313</v>
      </c>
      <c r="I136" s="12" t="s">
        <v>1314</v>
      </c>
    </row>
    <row r="137" ht="15.75" customHeight="1">
      <c r="A137" s="11" t="s">
        <v>49</v>
      </c>
      <c r="B137" s="7">
        <v>216696.0</v>
      </c>
      <c r="C137" s="9">
        <v>44301.0</v>
      </c>
      <c r="D137" s="7">
        <v>10.0</v>
      </c>
      <c r="E137" s="7" t="s">
        <v>82</v>
      </c>
      <c r="F137" s="7" t="s">
        <v>80</v>
      </c>
      <c r="G137" s="7" t="s">
        <v>55</v>
      </c>
      <c r="H137" s="12" t="s">
        <v>1315</v>
      </c>
      <c r="I137" s="12" t="s">
        <v>1316</v>
      </c>
    </row>
    <row r="138" ht="15.75" customHeight="1">
      <c r="A138" s="11" t="s">
        <v>49</v>
      </c>
      <c r="B138" s="7">
        <v>212288.0</v>
      </c>
      <c r="C138" s="9">
        <v>44292.0</v>
      </c>
      <c r="D138" s="7">
        <v>1.0</v>
      </c>
      <c r="E138" s="7" t="s">
        <v>79</v>
      </c>
      <c r="F138" s="7" t="s">
        <v>124</v>
      </c>
      <c r="G138" s="7" t="s">
        <v>55</v>
      </c>
      <c r="H138" s="12" t="s">
        <v>1317</v>
      </c>
      <c r="I138" s="12" t="s">
        <v>1318</v>
      </c>
    </row>
    <row r="139" ht="15.75" customHeight="1">
      <c r="A139" s="11" t="s">
        <v>49</v>
      </c>
      <c r="B139" s="7">
        <v>209641.0</v>
      </c>
      <c r="C139" s="9">
        <v>44287.0</v>
      </c>
      <c r="D139" s="7">
        <v>5.0</v>
      </c>
      <c r="E139" s="7" t="s">
        <v>79</v>
      </c>
      <c r="F139" s="7" t="s">
        <v>124</v>
      </c>
      <c r="G139" s="7" t="s">
        <v>55</v>
      </c>
      <c r="H139" s="12" t="s">
        <v>1319</v>
      </c>
      <c r="I139" s="12" t="s">
        <v>1320</v>
      </c>
    </row>
    <row r="140" ht="15.75" customHeight="1">
      <c r="A140" s="11" t="s">
        <v>49</v>
      </c>
      <c r="B140" s="7">
        <v>140337.0</v>
      </c>
      <c r="C140" s="9">
        <v>44257.0</v>
      </c>
      <c r="D140" s="7">
        <v>1.0</v>
      </c>
      <c r="E140" s="7" t="s">
        <v>79</v>
      </c>
      <c r="F140" s="7" t="s">
        <v>124</v>
      </c>
      <c r="G140" s="7" t="s">
        <v>55</v>
      </c>
      <c r="H140" s="12" t="s">
        <v>1321</v>
      </c>
      <c r="I140" s="12" t="s">
        <v>1322</v>
      </c>
    </row>
    <row r="141" ht="15.75" customHeight="1">
      <c r="A141" s="11" t="s">
        <v>49</v>
      </c>
      <c r="B141" s="7">
        <v>145221.0</v>
      </c>
      <c r="C141" s="9">
        <v>44238.0</v>
      </c>
      <c r="D141" s="7">
        <v>2.0</v>
      </c>
      <c r="E141" s="7" t="s">
        <v>53</v>
      </c>
      <c r="F141" s="7" t="s">
        <v>80</v>
      </c>
      <c r="G141" s="7" t="s">
        <v>55</v>
      </c>
      <c r="H141" s="12" t="s">
        <v>1323</v>
      </c>
      <c r="I141" s="12" t="s">
        <v>1324</v>
      </c>
    </row>
    <row r="142" ht="15.75" customHeight="1">
      <c r="A142" s="11" t="s">
        <v>49</v>
      </c>
      <c r="B142" s="7">
        <v>198903.0</v>
      </c>
      <c r="C142" s="9">
        <v>44232.0</v>
      </c>
      <c r="D142" s="7">
        <v>10.0</v>
      </c>
      <c r="E142" s="7" t="s">
        <v>53</v>
      </c>
      <c r="F142" s="7" t="s">
        <v>80</v>
      </c>
      <c r="G142" s="7" t="s">
        <v>55</v>
      </c>
      <c r="H142" s="12" t="s">
        <v>1325</v>
      </c>
      <c r="I142" s="12" t="s">
        <v>1326</v>
      </c>
    </row>
    <row r="143" ht="15.75" customHeight="1">
      <c r="A143" s="11" t="s">
        <v>49</v>
      </c>
      <c r="B143" s="7">
        <v>208798.0</v>
      </c>
      <c r="C143" s="9">
        <v>44187.0</v>
      </c>
      <c r="D143" s="7">
        <v>8.0</v>
      </c>
      <c r="E143" s="7" t="s">
        <v>53</v>
      </c>
      <c r="F143" s="7" t="s">
        <v>80</v>
      </c>
      <c r="G143" s="7" t="s">
        <v>55</v>
      </c>
      <c r="H143" s="12" t="s">
        <v>1327</v>
      </c>
      <c r="I143" s="12" t="s">
        <v>1328</v>
      </c>
    </row>
    <row r="144" ht="15.75" customHeight="1">
      <c r="A144" s="11" t="s">
        <v>49</v>
      </c>
      <c r="B144" s="7">
        <v>165701.0</v>
      </c>
      <c r="C144" s="9">
        <v>44166.0</v>
      </c>
      <c r="D144" s="7">
        <v>6.0</v>
      </c>
      <c r="E144" s="7" t="s">
        <v>79</v>
      </c>
      <c r="F144" s="7" t="s">
        <v>580</v>
      </c>
      <c r="G144" s="7" t="s">
        <v>55</v>
      </c>
      <c r="H144" s="12" t="s">
        <v>1329</v>
      </c>
      <c r="I144" s="12" t="s">
        <v>1330</v>
      </c>
    </row>
    <row r="145" ht="15.75" customHeight="1">
      <c r="A145" s="7" t="s">
        <v>256</v>
      </c>
      <c r="B145" s="7">
        <v>1.0234545E7</v>
      </c>
      <c r="C145" s="9">
        <v>46174.0</v>
      </c>
      <c r="D145" s="7">
        <v>1.0</v>
      </c>
      <c r="E145" s="7" t="s">
        <v>100</v>
      </c>
      <c r="F145" s="7" t="s">
        <v>69</v>
      </c>
      <c r="G145" s="7" t="s">
        <v>55</v>
      </c>
      <c r="H145" s="12" t="s">
        <v>1331</v>
      </c>
      <c r="I145" s="12" t="s">
        <v>1332</v>
      </c>
    </row>
    <row r="146" ht="15.75" customHeight="1">
      <c r="A146" s="7" t="s">
        <v>256</v>
      </c>
      <c r="B146" s="7">
        <v>7969891.0</v>
      </c>
      <c r="C146" s="9">
        <v>46120.0</v>
      </c>
      <c r="D146" s="7">
        <v>10.0</v>
      </c>
      <c r="E146" s="7" t="s">
        <v>53</v>
      </c>
      <c r="F146" s="7" t="s">
        <v>88</v>
      </c>
      <c r="G146" s="7" t="s">
        <v>55</v>
      </c>
      <c r="H146" s="12" t="s">
        <v>1333</v>
      </c>
      <c r="I146" s="12" t="s">
        <v>630</v>
      </c>
    </row>
    <row r="147" ht="15.75" customHeight="1">
      <c r="A147" s="7" t="s">
        <v>256</v>
      </c>
      <c r="B147" s="7">
        <v>5500050.0</v>
      </c>
      <c r="C147" s="9">
        <v>46089.0</v>
      </c>
      <c r="D147" s="7">
        <v>8.0</v>
      </c>
      <c r="E147" s="7" t="s">
        <v>53</v>
      </c>
      <c r="F147" s="7" t="s">
        <v>110</v>
      </c>
      <c r="G147" s="7" t="s">
        <v>55</v>
      </c>
      <c r="H147" s="12" t="s">
        <v>1334</v>
      </c>
      <c r="I147" s="12" t="s">
        <v>1335</v>
      </c>
    </row>
    <row r="148" ht="15.75" customHeight="1">
      <c r="A148" s="7" t="s">
        <v>256</v>
      </c>
      <c r="B148" s="7">
        <v>6896919.0</v>
      </c>
      <c r="C148" s="9">
        <v>46040.0</v>
      </c>
      <c r="D148" s="7">
        <v>7.0</v>
      </c>
      <c r="E148" s="7" t="s">
        <v>53</v>
      </c>
      <c r="F148" s="7" t="s">
        <v>54</v>
      </c>
      <c r="G148" s="7" t="s">
        <v>55</v>
      </c>
      <c r="H148" s="12" t="s">
        <v>1336</v>
      </c>
      <c r="I148" s="12" t="s">
        <v>1337</v>
      </c>
    </row>
    <row r="149" ht="15.75" customHeight="1">
      <c r="A149" s="7" t="s">
        <v>256</v>
      </c>
      <c r="B149" s="7">
        <v>4366612.0</v>
      </c>
      <c r="C149" s="9">
        <v>45775.0</v>
      </c>
      <c r="D149" s="7">
        <v>5.0</v>
      </c>
      <c r="E149" s="7" t="s">
        <v>79</v>
      </c>
      <c r="F149" s="7" t="s">
        <v>119</v>
      </c>
      <c r="G149" s="7" t="s">
        <v>55</v>
      </c>
      <c r="H149" s="12" t="s">
        <v>1338</v>
      </c>
      <c r="I149" s="12" t="s">
        <v>1339</v>
      </c>
    </row>
    <row r="150" ht="15.75" customHeight="1">
      <c r="A150" s="7" t="s">
        <v>256</v>
      </c>
      <c r="B150" s="7">
        <v>4686178.0</v>
      </c>
      <c r="C150" s="9">
        <v>45679.0</v>
      </c>
      <c r="D150" s="7">
        <v>10.0</v>
      </c>
      <c r="E150" s="7" t="s">
        <v>53</v>
      </c>
      <c r="F150" s="7" t="s">
        <v>142</v>
      </c>
      <c r="G150" s="7" t="s">
        <v>55</v>
      </c>
      <c r="H150" s="12" t="s">
        <v>1340</v>
      </c>
      <c r="I150" s="12" t="s">
        <v>1341</v>
      </c>
    </row>
    <row r="151" ht="15.75" customHeight="1">
      <c r="A151" s="7" t="s">
        <v>256</v>
      </c>
      <c r="B151" s="7">
        <v>1160865.0</v>
      </c>
      <c r="C151" s="9">
        <v>45505.0</v>
      </c>
      <c r="D151" s="7">
        <v>7.0</v>
      </c>
      <c r="E151" s="7" t="s">
        <v>53</v>
      </c>
      <c r="F151" s="7" t="s">
        <v>110</v>
      </c>
      <c r="G151" s="7" t="s">
        <v>55</v>
      </c>
      <c r="H151" s="12" t="s">
        <v>1342</v>
      </c>
      <c r="I151" s="12" t="s">
        <v>1342</v>
      </c>
    </row>
    <row r="152" ht="15.75" customHeight="1">
      <c r="A152" s="7" t="s">
        <v>256</v>
      </c>
      <c r="B152" s="7">
        <v>319291.0</v>
      </c>
      <c r="C152" s="9">
        <v>45435.0</v>
      </c>
      <c r="D152" s="7">
        <v>0.0</v>
      </c>
      <c r="E152" s="7" t="s">
        <v>82</v>
      </c>
      <c r="F152" s="7" t="s">
        <v>80</v>
      </c>
      <c r="G152" s="7" t="s">
        <v>55</v>
      </c>
      <c r="H152" s="12" t="s">
        <v>1343</v>
      </c>
      <c r="I152" s="12" t="s">
        <v>1344</v>
      </c>
    </row>
    <row r="153" ht="15.75" customHeight="1">
      <c r="A153" s="7" t="s">
        <v>256</v>
      </c>
      <c r="B153" s="7">
        <v>1963056.0</v>
      </c>
      <c r="C153" s="9">
        <v>45331.0</v>
      </c>
      <c r="D153" s="7">
        <v>8.0</v>
      </c>
      <c r="E153" s="7" t="s">
        <v>79</v>
      </c>
      <c r="F153" s="7" t="s">
        <v>80</v>
      </c>
      <c r="G153" s="7" t="s">
        <v>55</v>
      </c>
      <c r="H153" s="12" t="s">
        <v>1347</v>
      </c>
      <c r="I153" s="12" t="s">
        <v>1348</v>
      </c>
    </row>
    <row r="154" ht="15.75" customHeight="1">
      <c r="A154" s="7" t="s">
        <v>256</v>
      </c>
      <c r="B154" s="7">
        <v>3273992.0</v>
      </c>
      <c r="C154" s="9">
        <v>45310.0</v>
      </c>
      <c r="D154" s="7">
        <v>1.0</v>
      </c>
      <c r="E154" s="7" t="s">
        <v>82</v>
      </c>
      <c r="F154" s="7" t="s">
        <v>110</v>
      </c>
      <c r="G154" s="7" t="s">
        <v>55</v>
      </c>
      <c r="H154" s="12" t="s">
        <v>1353</v>
      </c>
      <c r="I154" s="12" t="s">
        <v>1354</v>
      </c>
    </row>
    <row r="155" ht="15.75" customHeight="1">
      <c r="A155" s="7" t="s">
        <v>256</v>
      </c>
      <c r="B155" s="7">
        <v>994086.0</v>
      </c>
      <c r="C155" s="9">
        <v>45257.0</v>
      </c>
      <c r="D155" s="7">
        <v>6.0</v>
      </c>
      <c r="E155" s="7" t="s">
        <v>82</v>
      </c>
      <c r="F155" s="7" t="s">
        <v>80</v>
      </c>
      <c r="G155" s="7" t="s">
        <v>55</v>
      </c>
      <c r="H155" s="12" t="s">
        <v>1359</v>
      </c>
      <c r="I155" s="12" t="s">
        <v>1362</v>
      </c>
    </row>
    <row r="156" ht="15.75" customHeight="1">
      <c r="A156" s="7" t="s">
        <v>256</v>
      </c>
      <c r="B156" s="7">
        <v>3311353.0</v>
      </c>
      <c r="C156" s="9">
        <v>45190.0</v>
      </c>
      <c r="D156" s="7">
        <v>6.0</v>
      </c>
      <c r="E156" s="7" t="s">
        <v>53</v>
      </c>
      <c r="F156" s="7" t="s">
        <v>66</v>
      </c>
      <c r="G156" s="7" t="s">
        <v>55</v>
      </c>
      <c r="H156" s="12" t="s">
        <v>1365</v>
      </c>
      <c r="I156" s="12" t="s">
        <v>1368</v>
      </c>
    </row>
    <row r="157" ht="15.75" customHeight="1">
      <c r="A157" s="7" t="s">
        <v>256</v>
      </c>
      <c r="B157" s="7">
        <v>2189269.0</v>
      </c>
      <c r="C157" s="9">
        <v>45038.0</v>
      </c>
      <c r="D157" s="7">
        <v>10.0</v>
      </c>
      <c r="E157" s="7" t="s">
        <v>53</v>
      </c>
      <c r="F157" s="7" t="s">
        <v>80</v>
      </c>
      <c r="G157" s="7" t="s">
        <v>55</v>
      </c>
      <c r="H157" s="12" t="s">
        <v>1370</v>
      </c>
      <c r="I157" s="12" t="s">
        <v>1371</v>
      </c>
    </row>
    <row r="158" ht="15.75" customHeight="1">
      <c r="A158" s="7" t="s">
        <v>256</v>
      </c>
      <c r="B158" s="7">
        <v>2385881.0</v>
      </c>
      <c r="C158" s="9">
        <v>45037.0</v>
      </c>
      <c r="D158" s="7">
        <v>5.0</v>
      </c>
      <c r="E158" s="7" t="s">
        <v>79</v>
      </c>
      <c r="F158" s="7" t="s">
        <v>110</v>
      </c>
      <c r="G158" s="7" t="s">
        <v>55</v>
      </c>
      <c r="H158" s="12" t="s">
        <v>1372</v>
      </c>
      <c r="I158" s="12" t="s">
        <v>1373</v>
      </c>
    </row>
    <row r="159" ht="15.75" customHeight="1">
      <c r="A159" s="7" t="s">
        <v>256</v>
      </c>
      <c r="B159" s="7">
        <v>234431.0</v>
      </c>
      <c r="C159" s="9">
        <v>44970.0</v>
      </c>
      <c r="D159" s="7">
        <v>2.0</v>
      </c>
      <c r="E159" s="7" t="s">
        <v>53</v>
      </c>
      <c r="F159" s="7" t="s">
        <v>66</v>
      </c>
      <c r="G159" s="7" t="s">
        <v>55</v>
      </c>
      <c r="H159" s="12" t="s">
        <v>1374</v>
      </c>
      <c r="I159" s="12" t="s">
        <v>854</v>
      </c>
    </row>
    <row r="160" ht="15.75" customHeight="1">
      <c r="A160" s="7" t="s">
        <v>256</v>
      </c>
      <c r="B160" s="7">
        <v>1736352.0</v>
      </c>
      <c r="C160" s="9">
        <v>44953.0</v>
      </c>
      <c r="D160" s="7">
        <v>8.0</v>
      </c>
      <c r="E160" s="7" t="s">
        <v>53</v>
      </c>
      <c r="F160" s="7" t="s">
        <v>142</v>
      </c>
      <c r="G160" s="7" t="s">
        <v>55</v>
      </c>
      <c r="H160" s="12" t="s">
        <v>1375</v>
      </c>
      <c r="I160" s="12" t="s">
        <v>702</v>
      </c>
    </row>
    <row r="161" ht="15.75" customHeight="1">
      <c r="A161" s="7" t="s">
        <v>256</v>
      </c>
      <c r="B161" s="7">
        <v>702484.0</v>
      </c>
      <c r="C161" s="9">
        <v>44850.0</v>
      </c>
      <c r="D161" s="7">
        <v>7.0</v>
      </c>
      <c r="E161" s="7" t="s">
        <v>79</v>
      </c>
      <c r="F161" s="7" t="s">
        <v>110</v>
      </c>
      <c r="G161" s="7" t="s">
        <v>55</v>
      </c>
      <c r="H161" s="12" t="s">
        <v>1376</v>
      </c>
      <c r="I161" s="12" t="s">
        <v>1377</v>
      </c>
    </row>
    <row r="162" ht="15.75" customHeight="1">
      <c r="A162" s="7" t="s">
        <v>256</v>
      </c>
      <c r="B162" s="7">
        <v>424503.0</v>
      </c>
      <c r="C162" s="9">
        <v>44816.0</v>
      </c>
      <c r="D162" s="7">
        <v>5.0</v>
      </c>
      <c r="E162" s="7" t="s">
        <v>53</v>
      </c>
      <c r="F162" s="7" t="s">
        <v>66</v>
      </c>
      <c r="G162" s="7" t="s">
        <v>55</v>
      </c>
      <c r="H162" s="12" t="s">
        <v>1378</v>
      </c>
      <c r="I162" s="12" t="s">
        <v>1378</v>
      </c>
    </row>
    <row r="163" ht="15.75" customHeight="1">
      <c r="A163" s="7" t="s">
        <v>256</v>
      </c>
      <c r="B163" s="7">
        <v>568340.0</v>
      </c>
      <c r="C163" s="9">
        <v>44801.0</v>
      </c>
      <c r="D163" s="7">
        <v>2.0</v>
      </c>
      <c r="E163" s="7" t="s">
        <v>53</v>
      </c>
      <c r="F163" s="7" t="s">
        <v>66</v>
      </c>
      <c r="G163" s="7" t="s">
        <v>55</v>
      </c>
      <c r="H163" s="12" t="s">
        <v>1379</v>
      </c>
      <c r="I163" s="12" t="s">
        <v>1380</v>
      </c>
    </row>
    <row r="164" ht="15.75" customHeight="1">
      <c r="A164" s="7" t="s">
        <v>256</v>
      </c>
      <c r="B164" s="7">
        <v>1061090.0</v>
      </c>
      <c r="C164" s="9">
        <v>44797.0</v>
      </c>
      <c r="D164" s="7">
        <v>4.0</v>
      </c>
      <c r="E164" s="7" t="s">
        <v>53</v>
      </c>
      <c r="F164" s="7" t="s">
        <v>80</v>
      </c>
      <c r="G164" s="7" t="s">
        <v>55</v>
      </c>
      <c r="H164" s="12" t="s">
        <v>1381</v>
      </c>
      <c r="I164" s="12" t="s">
        <v>1382</v>
      </c>
    </row>
    <row r="165" ht="15.75" customHeight="1">
      <c r="A165" s="7" t="s">
        <v>256</v>
      </c>
      <c r="B165" s="7">
        <v>1380095.0</v>
      </c>
      <c r="C165" s="9">
        <v>44783.0</v>
      </c>
      <c r="D165" s="7">
        <v>4.0</v>
      </c>
      <c r="E165" s="7" t="s">
        <v>53</v>
      </c>
      <c r="F165" s="7" t="s">
        <v>66</v>
      </c>
      <c r="G165" s="7" t="s">
        <v>55</v>
      </c>
      <c r="H165" s="12" t="s">
        <v>1383</v>
      </c>
      <c r="I165" s="12" t="s">
        <v>1384</v>
      </c>
    </row>
    <row r="166" ht="15.75" customHeight="1">
      <c r="A166" s="7" t="s">
        <v>256</v>
      </c>
      <c r="B166" s="7">
        <v>917360.0</v>
      </c>
      <c r="C166" s="9">
        <v>44782.0</v>
      </c>
      <c r="D166" s="7">
        <v>2.0</v>
      </c>
      <c r="E166" s="7" t="s">
        <v>53</v>
      </c>
      <c r="F166" s="7" t="s">
        <v>66</v>
      </c>
      <c r="G166" s="7" t="s">
        <v>55</v>
      </c>
      <c r="H166" s="12" t="s">
        <v>1385</v>
      </c>
      <c r="I166" s="12" t="s">
        <v>1386</v>
      </c>
    </row>
    <row r="167" ht="15.75" customHeight="1">
      <c r="A167" s="7" t="s">
        <v>256</v>
      </c>
      <c r="B167" s="7">
        <v>209196.0</v>
      </c>
      <c r="C167" s="9">
        <v>44772.0</v>
      </c>
      <c r="D167" s="7">
        <v>6.0</v>
      </c>
      <c r="E167" s="7" t="s">
        <v>53</v>
      </c>
      <c r="F167" s="7" t="s">
        <v>66</v>
      </c>
      <c r="G167" s="7" t="s">
        <v>55</v>
      </c>
      <c r="H167" s="12" t="s">
        <v>1387</v>
      </c>
      <c r="I167" s="12" t="s">
        <v>1388</v>
      </c>
    </row>
    <row r="168" ht="15.75" customHeight="1">
      <c r="A168" s="7" t="s">
        <v>256</v>
      </c>
      <c r="B168" s="7">
        <v>525161.0</v>
      </c>
      <c r="C168" s="9">
        <v>44754.0</v>
      </c>
      <c r="D168" s="7">
        <v>9.0</v>
      </c>
      <c r="E168" s="7" t="s">
        <v>53</v>
      </c>
      <c r="F168" s="7" t="s">
        <v>66</v>
      </c>
      <c r="G168" s="7" t="s">
        <v>55</v>
      </c>
      <c r="H168" s="12" t="s">
        <v>1389</v>
      </c>
      <c r="I168" s="12" t="s">
        <v>1390</v>
      </c>
    </row>
    <row r="169" ht="15.75" customHeight="1">
      <c r="A169" s="7" t="s">
        <v>256</v>
      </c>
      <c r="B169" s="7">
        <v>140337.0</v>
      </c>
      <c r="C169" s="9">
        <v>44746.0</v>
      </c>
      <c r="D169" s="7">
        <v>1.0</v>
      </c>
      <c r="E169" s="7" t="s">
        <v>79</v>
      </c>
      <c r="F169" s="7" t="s">
        <v>124</v>
      </c>
      <c r="G169" s="7" t="s">
        <v>55</v>
      </c>
      <c r="H169" s="12" t="s">
        <v>1391</v>
      </c>
      <c r="I169" s="12" t="s">
        <v>1392</v>
      </c>
    </row>
    <row r="170" ht="15.75" customHeight="1">
      <c r="A170" s="7" t="s">
        <v>256</v>
      </c>
      <c r="B170" s="7">
        <v>917360.0</v>
      </c>
      <c r="C170" s="9">
        <v>44692.0</v>
      </c>
      <c r="D170" s="7">
        <v>2.0</v>
      </c>
      <c r="E170" s="7" t="s">
        <v>53</v>
      </c>
      <c r="F170" s="7" t="s">
        <v>66</v>
      </c>
      <c r="G170" s="7" t="s">
        <v>55</v>
      </c>
      <c r="H170" s="12" t="s">
        <v>1393</v>
      </c>
      <c r="I170" s="12" t="s">
        <v>1358</v>
      </c>
    </row>
    <row r="171" ht="15.75" customHeight="1">
      <c r="A171" s="7" t="s">
        <v>256</v>
      </c>
      <c r="B171" s="7">
        <v>697377.0</v>
      </c>
      <c r="C171" s="9">
        <v>44644.0</v>
      </c>
      <c r="D171" s="7">
        <v>7.0</v>
      </c>
      <c r="E171" s="7" t="s">
        <v>53</v>
      </c>
      <c r="F171" s="7" t="s">
        <v>66</v>
      </c>
      <c r="G171" s="7" t="s">
        <v>55</v>
      </c>
      <c r="H171" s="12" t="s">
        <v>1394</v>
      </c>
      <c r="I171" s="12" t="s">
        <v>720</v>
      </c>
    </row>
    <row r="172" ht="15.75" customHeight="1">
      <c r="A172" s="7" t="s">
        <v>256</v>
      </c>
      <c r="B172" s="7">
        <v>444305.0</v>
      </c>
      <c r="C172" s="9">
        <v>44637.0</v>
      </c>
      <c r="D172" s="7">
        <v>2.0</v>
      </c>
      <c r="E172" s="7" t="s">
        <v>53</v>
      </c>
      <c r="F172" s="7" t="s">
        <v>66</v>
      </c>
      <c r="G172" s="7" t="s">
        <v>55</v>
      </c>
      <c r="H172" s="12" t="s">
        <v>1395</v>
      </c>
      <c r="I172" s="12" t="s">
        <v>1396</v>
      </c>
    </row>
    <row r="173" ht="15.75" customHeight="1">
      <c r="A173" s="7" t="s">
        <v>256</v>
      </c>
      <c r="B173" s="7">
        <v>678048.0</v>
      </c>
      <c r="C173" s="9">
        <v>44627.0</v>
      </c>
      <c r="D173" s="7">
        <v>9.0</v>
      </c>
      <c r="E173" s="7" t="s">
        <v>82</v>
      </c>
      <c r="F173" s="7" t="s">
        <v>110</v>
      </c>
      <c r="G173" s="7" t="s">
        <v>55</v>
      </c>
      <c r="H173" s="12" t="s">
        <v>1397</v>
      </c>
      <c r="I173" s="12" t="s">
        <v>1398</v>
      </c>
    </row>
    <row r="174" ht="15.75" customHeight="1">
      <c r="A174" s="7" t="s">
        <v>256</v>
      </c>
      <c r="B174" s="7">
        <v>228550.0</v>
      </c>
      <c r="C174" s="9">
        <v>44618.0</v>
      </c>
      <c r="D174" s="7">
        <v>2.0</v>
      </c>
      <c r="E174" s="7" t="s">
        <v>53</v>
      </c>
      <c r="F174" s="7" t="s">
        <v>80</v>
      </c>
      <c r="G174" s="7" t="s">
        <v>55</v>
      </c>
      <c r="H174" s="12" t="s">
        <v>1399</v>
      </c>
      <c r="I174" s="12" t="s">
        <v>1400</v>
      </c>
    </row>
    <row r="175" ht="15.75" customHeight="1">
      <c r="A175" s="7" t="s">
        <v>256</v>
      </c>
      <c r="B175" s="7">
        <v>503194.0</v>
      </c>
      <c r="C175" s="9">
        <v>44606.0</v>
      </c>
      <c r="D175" s="7">
        <v>6.0</v>
      </c>
      <c r="E175" s="7" t="s">
        <v>79</v>
      </c>
      <c r="F175" s="7" t="s">
        <v>80</v>
      </c>
      <c r="G175" s="7" t="s">
        <v>55</v>
      </c>
      <c r="H175" s="12" t="s">
        <v>1401</v>
      </c>
      <c r="I175" s="12" t="s">
        <v>1402</v>
      </c>
    </row>
    <row r="176" ht="15.75" customHeight="1">
      <c r="A176" s="7" t="s">
        <v>256</v>
      </c>
      <c r="B176" s="7">
        <v>372336.0</v>
      </c>
      <c r="C176" s="9">
        <v>44549.0</v>
      </c>
      <c r="D176" s="7">
        <v>5.0</v>
      </c>
      <c r="E176" s="7" t="s">
        <v>53</v>
      </c>
      <c r="F176" s="7" t="s">
        <v>66</v>
      </c>
      <c r="G176" s="7" t="s">
        <v>55</v>
      </c>
      <c r="H176" s="12" t="s">
        <v>1403</v>
      </c>
      <c r="I176" s="12" t="s">
        <v>1404</v>
      </c>
    </row>
    <row r="177" ht="15.75" customHeight="1">
      <c r="A177" s="7" t="s">
        <v>256</v>
      </c>
      <c r="B177" s="7">
        <v>283949.0</v>
      </c>
      <c r="C177" s="9">
        <v>44484.0</v>
      </c>
      <c r="D177" s="7">
        <v>4.0</v>
      </c>
      <c r="E177" s="7" t="s">
        <v>53</v>
      </c>
      <c r="F177" s="7" t="s">
        <v>66</v>
      </c>
      <c r="G177" s="7" t="s">
        <v>55</v>
      </c>
      <c r="H177" s="12" t="s">
        <v>1405</v>
      </c>
      <c r="I177" s="12" t="s">
        <v>1406</v>
      </c>
    </row>
    <row r="178" ht="15.75" customHeight="1">
      <c r="A178" s="7" t="s">
        <v>256</v>
      </c>
      <c r="B178" s="7">
        <v>408053.0</v>
      </c>
      <c r="C178" s="9">
        <v>44475.0</v>
      </c>
      <c r="D178" s="7">
        <v>9.0</v>
      </c>
      <c r="E178" s="7" t="s">
        <v>82</v>
      </c>
      <c r="F178" s="7" t="s">
        <v>80</v>
      </c>
      <c r="G178" s="7" t="s">
        <v>55</v>
      </c>
      <c r="H178" s="12" t="s">
        <v>1407</v>
      </c>
      <c r="I178" s="12" t="s">
        <v>1408</v>
      </c>
    </row>
    <row r="179" ht="15.75" customHeight="1">
      <c r="A179" s="7" t="s">
        <v>256</v>
      </c>
      <c r="B179" s="7">
        <v>137834.0</v>
      </c>
      <c r="C179" s="9">
        <v>44469.0</v>
      </c>
      <c r="D179" s="7">
        <v>6.0</v>
      </c>
      <c r="E179" s="7" t="s">
        <v>53</v>
      </c>
      <c r="F179" s="7" t="s">
        <v>80</v>
      </c>
      <c r="G179" s="7" t="s">
        <v>55</v>
      </c>
      <c r="H179" s="12" t="s">
        <v>1409</v>
      </c>
      <c r="I179" s="12" t="s">
        <v>1410</v>
      </c>
    </row>
    <row r="180" ht="15.75" customHeight="1">
      <c r="A180" s="7" t="s">
        <v>256</v>
      </c>
      <c r="B180" s="7">
        <v>318899.0</v>
      </c>
      <c r="C180" s="9">
        <v>44428.0</v>
      </c>
      <c r="D180" s="7">
        <v>1.0</v>
      </c>
      <c r="E180" s="7" t="s">
        <v>53</v>
      </c>
      <c r="F180" s="7" t="s">
        <v>66</v>
      </c>
      <c r="G180" s="7" t="s">
        <v>55</v>
      </c>
      <c r="H180" s="12" t="s">
        <v>1411</v>
      </c>
      <c r="I180" s="12" t="s">
        <v>1412</v>
      </c>
    </row>
    <row r="181" ht="15.75" customHeight="1">
      <c r="A181" s="7" t="s">
        <v>256</v>
      </c>
      <c r="B181" s="7">
        <v>103434.0</v>
      </c>
      <c r="C181" s="9">
        <v>44425.0</v>
      </c>
      <c r="D181" s="7">
        <v>4.0</v>
      </c>
      <c r="E181" s="7" t="s">
        <v>82</v>
      </c>
      <c r="F181" s="7" t="s">
        <v>80</v>
      </c>
      <c r="G181" s="7" t="s">
        <v>55</v>
      </c>
      <c r="H181" s="12" t="s">
        <v>1413</v>
      </c>
      <c r="I181" s="12" t="s">
        <v>1414</v>
      </c>
    </row>
    <row r="182" ht="15.75" customHeight="1">
      <c r="A182" s="7" t="s">
        <v>256</v>
      </c>
      <c r="B182" s="7">
        <v>310417.0</v>
      </c>
      <c r="C182" s="9">
        <v>44371.0</v>
      </c>
      <c r="D182" s="7">
        <v>6.0</v>
      </c>
      <c r="E182" s="7" t="s">
        <v>53</v>
      </c>
      <c r="F182" s="7" t="s">
        <v>80</v>
      </c>
      <c r="G182" s="7" t="s">
        <v>55</v>
      </c>
      <c r="H182" s="12" t="s">
        <v>1415</v>
      </c>
      <c r="I182" s="12" t="s">
        <v>1416</v>
      </c>
    </row>
    <row r="183" ht="15.75" customHeight="1">
      <c r="A183" s="7" t="s">
        <v>256</v>
      </c>
      <c r="B183" s="7">
        <v>103434.0</v>
      </c>
      <c r="C183" s="9">
        <v>44334.0</v>
      </c>
      <c r="D183" s="7">
        <v>3.0</v>
      </c>
      <c r="E183" s="7" t="s">
        <v>82</v>
      </c>
      <c r="F183" s="7" t="s">
        <v>80</v>
      </c>
      <c r="G183" s="7" t="s">
        <v>55</v>
      </c>
      <c r="H183" s="12" t="s">
        <v>1417</v>
      </c>
      <c r="I183" s="12" t="s">
        <v>1418</v>
      </c>
    </row>
    <row r="184" ht="15.75" customHeight="1">
      <c r="A184" s="7" t="s">
        <v>256</v>
      </c>
      <c r="B184" s="7">
        <v>106273.0</v>
      </c>
      <c r="C184" s="9">
        <v>44131.0</v>
      </c>
      <c r="D184" s="7">
        <v>1.0</v>
      </c>
      <c r="E184" s="7" t="s">
        <v>79</v>
      </c>
      <c r="F184" s="7" t="s">
        <v>124</v>
      </c>
      <c r="G184" s="7" t="s">
        <v>55</v>
      </c>
      <c r="H184" s="12" t="s">
        <v>1419</v>
      </c>
      <c r="I184" s="12" t="s">
        <v>834</v>
      </c>
    </row>
    <row r="185" ht="15.75" customHeight="1">
      <c r="A185" s="7" t="s">
        <v>394</v>
      </c>
      <c r="B185" s="7">
        <v>4888133.0</v>
      </c>
      <c r="C185" s="9">
        <v>45812.0</v>
      </c>
      <c r="D185" s="7">
        <v>7.0</v>
      </c>
      <c r="E185" s="7" t="s">
        <v>53</v>
      </c>
      <c r="F185" s="7" t="s">
        <v>66</v>
      </c>
      <c r="G185" s="7" t="s">
        <v>55</v>
      </c>
      <c r="H185" s="12" t="s">
        <v>1420</v>
      </c>
      <c r="I185" s="12" t="s">
        <v>949</v>
      </c>
    </row>
    <row r="186" ht="15.75" customHeight="1">
      <c r="A186" s="7" t="s">
        <v>394</v>
      </c>
      <c r="B186" s="7">
        <v>3305096.0</v>
      </c>
      <c r="C186" s="9">
        <v>45792.0</v>
      </c>
      <c r="D186" s="7">
        <v>10.0</v>
      </c>
      <c r="E186" s="7" t="s">
        <v>53</v>
      </c>
      <c r="F186" s="7" t="s">
        <v>66</v>
      </c>
      <c r="G186" s="7" t="s">
        <v>55</v>
      </c>
      <c r="H186" s="12" t="s">
        <v>1421</v>
      </c>
      <c r="I186" s="12" t="s">
        <v>1072</v>
      </c>
    </row>
    <row r="187" ht="15.75" customHeight="1">
      <c r="A187" s="7" t="s">
        <v>394</v>
      </c>
      <c r="B187" s="7">
        <v>5593944.0</v>
      </c>
      <c r="C187" s="9">
        <v>45769.0</v>
      </c>
      <c r="D187" s="7">
        <v>10.0</v>
      </c>
      <c r="E187" s="7" t="s">
        <v>79</v>
      </c>
      <c r="F187" s="7" t="s">
        <v>142</v>
      </c>
      <c r="G187" s="7" t="s">
        <v>55</v>
      </c>
      <c r="H187" s="12" t="s">
        <v>1422</v>
      </c>
      <c r="I187" s="12" t="s">
        <v>1423</v>
      </c>
    </row>
    <row r="188" ht="15.75" customHeight="1">
      <c r="A188" s="7" t="s">
        <v>394</v>
      </c>
      <c r="B188" s="7">
        <v>5162196.0</v>
      </c>
      <c r="C188" s="9">
        <v>45616.0</v>
      </c>
      <c r="D188" s="7">
        <v>4.0</v>
      </c>
      <c r="E188" s="7" t="s">
        <v>53</v>
      </c>
      <c r="F188" s="7" t="s">
        <v>73</v>
      </c>
      <c r="G188" s="7" t="s">
        <v>55</v>
      </c>
      <c r="H188" s="12" t="s">
        <v>1424</v>
      </c>
      <c r="I188" s="12" t="s">
        <v>1425</v>
      </c>
    </row>
    <row r="189" ht="15.75" customHeight="1">
      <c r="A189" s="7" t="s">
        <v>394</v>
      </c>
      <c r="B189" s="7">
        <v>1057775.0</v>
      </c>
      <c r="C189" s="9">
        <v>45452.0</v>
      </c>
      <c r="D189" s="7">
        <v>6.0</v>
      </c>
      <c r="E189" s="7" t="s">
        <v>53</v>
      </c>
      <c r="F189" s="7" t="s">
        <v>66</v>
      </c>
      <c r="G189" s="7" t="s">
        <v>55</v>
      </c>
      <c r="H189" s="12" t="s">
        <v>1426</v>
      </c>
      <c r="I189" s="12" t="s">
        <v>1427</v>
      </c>
    </row>
    <row r="190" ht="15.75" customHeight="1">
      <c r="A190" s="7" t="s">
        <v>394</v>
      </c>
      <c r="B190" s="7">
        <v>917252.0</v>
      </c>
      <c r="C190" s="9">
        <v>45351.0</v>
      </c>
      <c r="D190" s="7">
        <v>6.0</v>
      </c>
      <c r="E190" s="7" t="s">
        <v>82</v>
      </c>
      <c r="F190" s="7" t="s">
        <v>110</v>
      </c>
      <c r="G190" s="7" t="s">
        <v>55</v>
      </c>
      <c r="H190" s="12" t="s">
        <v>1428</v>
      </c>
      <c r="I190" s="12" t="s">
        <v>1429</v>
      </c>
    </row>
    <row r="191" ht="15.75" customHeight="1">
      <c r="A191" s="7" t="s">
        <v>394</v>
      </c>
      <c r="B191" s="7">
        <v>714713.0</v>
      </c>
      <c r="C191" s="9">
        <v>45236.0</v>
      </c>
      <c r="D191" s="7">
        <v>3.0</v>
      </c>
      <c r="E191" s="7" t="s">
        <v>53</v>
      </c>
      <c r="F191" s="7" t="s">
        <v>110</v>
      </c>
      <c r="G191" s="7" t="s">
        <v>55</v>
      </c>
      <c r="H191" s="12" t="s">
        <v>1430</v>
      </c>
      <c r="I191" s="12" t="s">
        <v>1431</v>
      </c>
    </row>
    <row r="192" ht="15.75" customHeight="1">
      <c r="A192" s="7" t="s">
        <v>394</v>
      </c>
      <c r="B192" s="7">
        <v>2573323.0</v>
      </c>
      <c r="C192" s="9">
        <v>45044.0</v>
      </c>
      <c r="D192" s="7">
        <v>8.0</v>
      </c>
      <c r="E192" s="7" t="s">
        <v>53</v>
      </c>
      <c r="F192" s="7" t="s">
        <v>80</v>
      </c>
      <c r="G192" s="7" t="s">
        <v>55</v>
      </c>
      <c r="H192" s="12" t="s">
        <v>1432</v>
      </c>
      <c r="I192" s="12" t="s">
        <v>1433</v>
      </c>
    </row>
    <row r="193" ht="15.75" customHeight="1">
      <c r="A193" s="7" t="s">
        <v>394</v>
      </c>
      <c r="B193" s="7">
        <v>1782602.0</v>
      </c>
      <c r="C193" s="9">
        <v>44972.0</v>
      </c>
      <c r="D193" s="7">
        <v>1.0</v>
      </c>
      <c r="E193" s="7" t="s">
        <v>53</v>
      </c>
      <c r="F193" s="7" t="s">
        <v>66</v>
      </c>
      <c r="G193" s="7" t="s">
        <v>55</v>
      </c>
      <c r="H193" s="12" t="s">
        <v>1434</v>
      </c>
      <c r="I193" s="12" t="s">
        <v>1435</v>
      </c>
    </row>
    <row r="194" ht="15.75" customHeight="1">
      <c r="A194" s="7" t="s">
        <v>394</v>
      </c>
      <c r="B194" s="7">
        <v>887014.0</v>
      </c>
      <c r="C194" s="9">
        <v>44846.0</v>
      </c>
      <c r="D194" s="7">
        <v>1.0</v>
      </c>
      <c r="E194" s="7" t="s">
        <v>53</v>
      </c>
      <c r="F194" s="7" t="s">
        <v>655</v>
      </c>
      <c r="G194" s="7" t="s">
        <v>55</v>
      </c>
      <c r="H194" s="12" t="s">
        <v>1436</v>
      </c>
      <c r="I194" s="12" t="s">
        <v>1437</v>
      </c>
    </row>
    <row r="195" ht="15.75" customHeight="1">
      <c r="A195" s="7" t="s">
        <v>394</v>
      </c>
      <c r="B195" s="7">
        <v>519789.0</v>
      </c>
      <c r="C195" s="9">
        <v>44832.0</v>
      </c>
      <c r="D195" s="7">
        <v>5.0</v>
      </c>
      <c r="E195" s="7" t="s">
        <v>53</v>
      </c>
      <c r="F195" s="7" t="s">
        <v>66</v>
      </c>
      <c r="G195" s="7" t="s">
        <v>55</v>
      </c>
      <c r="H195" s="12" t="s">
        <v>1438</v>
      </c>
      <c r="I195" s="12" t="s">
        <v>697</v>
      </c>
    </row>
    <row r="196" ht="15.75" customHeight="1">
      <c r="A196" s="7" t="s">
        <v>394</v>
      </c>
      <c r="B196" s="7">
        <v>518902.0</v>
      </c>
      <c r="C196" s="9">
        <v>44522.0</v>
      </c>
      <c r="D196" s="7">
        <v>7.0</v>
      </c>
      <c r="E196" s="7" t="s">
        <v>82</v>
      </c>
      <c r="F196" s="7" t="s">
        <v>80</v>
      </c>
      <c r="G196" s="7" t="s">
        <v>55</v>
      </c>
      <c r="H196" s="12" t="s">
        <v>1439</v>
      </c>
      <c r="I196" s="12" t="s">
        <v>1440</v>
      </c>
    </row>
    <row r="197" ht="15.75" customHeight="1">
      <c r="A197" s="7" t="s">
        <v>394</v>
      </c>
      <c r="B197" s="7">
        <v>230774.0</v>
      </c>
      <c r="C197" s="9">
        <v>44441.0</v>
      </c>
      <c r="D197" s="7">
        <v>2.0</v>
      </c>
      <c r="E197" s="7" t="s">
        <v>53</v>
      </c>
      <c r="F197" s="7" t="s">
        <v>66</v>
      </c>
      <c r="G197" s="7" t="s">
        <v>55</v>
      </c>
      <c r="H197" s="12" t="s">
        <v>1441</v>
      </c>
      <c r="I197" s="12" t="s">
        <v>1367</v>
      </c>
    </row>
    <row r="198" ht="15.75" customHeight="1">
      <c r="A198" s="7" t="s">
        <v>394</v>
      </c>
      <c r="B198" s="7">
        <v>203969.0</v>
      </c>
      <c r="C198" s="9">
        <v>44367.0</v>
      </c>
      <c r="D198" s="7">
        <v>1.0</v>
      </c>
      <c r="E198" s="7" t="s">
        <v>53</v>
      </c>
      <c r="F198" s="7" t="s">
        <v>124</v>
      </c>
      <c r="G198" s="7" t="s">
        <v>55</v>
      </c>
      <c r="H198" s="12" t="s">
        <v>1442</v>
      </c>
      <c r="I198" s="12" t="s">
        <v>1442</v>
      </c>
    </row>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98"/>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5589048.0</v>
      </c>
      <c r="C2" s="9">
        <v>46105.0</v>
      </c>
      <c r="D2" s="7">
        <v>5.0</v>
      </c>
      <c r="E2" s="7" t="s">
        <v>82</v>
      </c>
      <c r="F2" s="7" t="s">
        <v>110</v>
      </c>
      <c r="G2" s="7" t="s">
        <v>55</v>
      </c>
      <c r="H2" s="12" t="s">
        <v>908</v>
      </c>
      <c r="I2" s="12" t="s">
        <v>909</v>
      </c>
    </row>
    <row r="3">
      <c r="A3" s="11" t="s">
        <v>49</v>
      </c>
      <c r="B3" s="7">
        <v>6755629.0</v>
      </c>
      <c r="C3" s="9">
        <v>46060.0</v>
      </c>
      <c r="D3" s="7">
        <v>5.0</v>
      </c>
      <c r="E3" s="7" t="s">
        <v>82</v>
      </c>
      <c r="F3" s="7" t="s">
        <v>110</v>
      </c>
      <c r="G3" s="7" t="s">
        <v>55</v>
      </c>
      <c r="H3" s="12" t="s">
        <v>910</v>
      </c>
      <c r="I3" s="12" t="s">
        <v>911</v>
      </c>
    </row>
    <row r="4">
      <c r="A4" s="11" t="s">
        <v>49</v>
      </c>
      <c r="B4" s="7">
        <v>6712333.0</v>
      </c>
      <c r="C4" s="9">
        <v>45986.0</v>
      </c>
      <c r="D4" s="7">
        <v>6.0</v>
      </c>
      <c r="E4" s="7" t="s">
        <v>82</v>
      </c>
      <c r="F4" s="7" t="s">
        <v>272</v>
      </c>
      <c r="G4" s="7" t="s">
        <v>55</v>
      </c>
      <c r="H4" s="12" t="s">
        <v>912</v>
      </c>
      <c r="I4" s="12" t="s">
        <v>274</v>
      </c>
    </row>
    <row r="5">
      <c r="A5" s="11" t="s">
        <v>49</v>
      </c>
      <c r="B5" s="7">
        <v>6792736.0</v>
      </c>
      <c r="C5" s="9">
        <v>45860.0</v>
      </c>
      <c r="D5" s="7">
        <v>4.0</v>
      </c>
      <c r="E5" s="7" t="s">
        <v>53</v>
      </c>
      <c r="F5" s="7" t="s">
        <v>66</v>
      </c>
      <c r="G5" s="7" t="s">
        <v>55</v>
      </c>
      <c r="H5" s="12" t="s">
        <v>913</v>
      </c>
      <c r="I5" s="12" t="s">
        <v>914</v>
      </c>
    </row>
    <row r="6">
      <c r="A6" s="11" t="s">
        <v>49</v>
      </c>
      <c r="B6" s="7">
        <v>3726421.0</v>
      </c>
      <c r="C6" s="9">
        <v>45724.0</v>
      </c>
      <c r="D6" s="7">
        <v>3.0</v>
      </c>
      <c r="E6" s="7" t="s">
        <v>53</v>
      </c>
      <c r="F6" s="7" t="s">
        <v>80</v>
      </c>
      <c r="G6" s="7" t="s">
        <v>55</v>
      </c>
      <c r="H6" s="12" t="s">
        <v>915</v>
      </c>
      <c r="I6" s="12" t="s">
        <v>916</v>
      </c>
    </row>
    <row r="7">
      <c r="A7" s="11" t="s">
        <v>49</v>
      </c>
      <c r="B7" s="7">
        <v>5506443.0</v>
      </c>
      <c r="C7" s="9">
        <v>45642.0</v>
      </c>
      <c r="D7" s="7">
        <v>8.0</v>
      </c>
      <c r="E7" s="7" t="s">
        <v>53</v>
      </c>
      <c r="F7" s="7" t="s">
        <v>66</v>
      </c>
      <c r="G7" s="7" t="s">
        <v>55</v>
      </c>
      <c r="H7" s="12" t="s">
        <v>917</v>
      </c>
      <c r="I7" s="12" t="s">
        <v>918</v>
      </c>
    </row>
    <row r="8">
      <c r="A8" s="11" t="s">
        <v>49</v>
      </c>
      <c r="B8" s="7">
        <v>3758111.0</v>
      </c>
      <c r="C8" s="9">
        <v>45530.0</v>
      </c>
      <c r="D8" s="7">
        <v>8.0</v>
      </c>
      <c r="E8" s="7" t="s">
        <v>53</v>
      </c>
      <c r="F8" s="7" t="s">
        <v>80</v>
      </c>
      <c r="G8" s="7" t="s">
        <v>55</v>
      </c>
      <c r="H8" s="12" t="s">
        <v>919</v>
      </c>
      <c r="I8" s="12" t="s">
        <v>920</v>
      </c>
    </row>
    <row r="9">
      <c r="A9" s="11" t="s">
        <v>49</v>
      </c>
      <c r="B9" s="7">
        <v>3516928.0</v>
      </c>
      <c r="C9" s="9">
        <v>45334.0</v>
      </c>
      <c r="D9" s="7">
        <v>3.0</v>
      </c>
      <c r="E9" s="7" t="s">
        <v>82</v>
      </c>
      <c r="F9" s="7" t="s">
        <v>80</v>
      </c>
      <c r="G9" s="7" t="s">
        <v>55</v>
      </c>
      <c r="H9" s="12" t="s">
        <v>921</v>
      </c>
      <c r="I9" s="12" t="s">
        <v>922</v>
      </c>
    </row>
    <row r="10">
      <c r="A10" s="11" t="s">
        <v>49</v>
      </c>
      <c r="B10" s="7">
        <v>2498527.0</v>
      </c>
      <c r="C10" s="9">
        <v>45117.0</v>
      </c>
      <c r="D10" s="7">
        <v>1.0</v>
      </c>
      <c r="E10" s="7" t="s">
        <v>79</v>
      </c>
      <c r="F10" s="7" t="s">
        <v>142</v>
      </c>
      <c r="G10" s="7" t="s">
        <v>55</v>
      </c>
      <c r="H10" s="12" t="s">
        <v>923</v>
      </c>
      <c r="I10" s="12" t="s">
        <v>924</v>
      </c>
    </row>
    <row r="11">
      <c r="A11" s="11" t="s">
        <v>49</v>
      </c>
      <c r="B11" s="7">
        <v>1120955.0</v>
      </c>
      <c r="C11" s="9">
        <v>44695.0</v>
      </c>
      <c r="D11" s="7">
        <v>5.0</v>
      </c>
      <c r="E11" s="7" t="s">
        <v>53</v>
      </c>
      <c r="F11" s="7" t="s">
        <v>66</v>
      </c>
      <c r="G11" s="7" t="s">
        <v>55</v>
      </c>
      <c r="H11" s="12" t="s">
        <v>925</v>
      </c>
      <c r="I11" s="12" t="s">
        <v>926</v>
      </c>
    </row>
    <row r="12">
      <c r="A12" s="11" t="s">
        <v>49</v>
      </c>
      <c r="B12" s="7">
        <v>234359.0</v>
      </c>
      <c r="C12" s="9">
        <v>44565.0</v>
      </c>
      <c r="D12" s="7">
        <v>4.0</v>
      </c>
      <c r="E12" s="7" t="s">
        <v>53</v>
      </c>
      <c r="F12" s="7" t="s">
        <v>66</v>
      </c>
      <c r="G12" s="7" t="s">
        <v>55</v>
      </c>
      <c r="H12" s="12" t="s">
        <v>927</v>
      </c>
      <c r="I12" s="12" t="s">
        <v>928</v>
      </c>
    </row>
    <row r="13">
      <c r="A13" s="11" t="s">
        <v>49</v>
      </c>
      <c r="B13" s="7">
        <v>239825.0</v>
      </c>
      <c r="C13" s="9">
        <v>44269.0</v>
      </c>
      <c r="D13" s="7">
        <v>7.0</v>
      </c>
      <c r="E13" s="7" t="s">
        <v>53</v>
      </c>
      <c r="F13" s="7" t="s">
        <v>80</v>
      </c>
      <c r="G13" s="7" t="s">
        <v>55</v>
      </c>
      <c r="H13" s="12" t="s">
        <v>929</v>
      </c>
      <c r="I13" s="12" t="s">
        <v>930</v>
      </c>
    </row>
    <row r="14">
      <c r="A14" s="7" t="s">
        <v>256</v>
      </c>
      <c r="B14" s="7">
        <v>1.0531901E7</v>
      </c>
      <c r="C14" s="9">
        <v>46241.0</v>
      </c>
      <c r="D14" s="7">
        <v>6.0</v>
      </c>
      <c r="E14" s="7" t="s">
        <v>53</v>
      </c>
      <c r="F14" s="7" t="s">
        <v>69</v>
      </c>
      <c r="G14" s="7" t="s">
        <v>55</v>
      </c>
      <c r="H14" s="12" t="s">
        <v>931</v>
      </c>
      <c r="I14" s="12" t="s">
        <v>932</v>
      </c>
    </row>
    <row r="15">
      <c r="A15" s="7" t="s">
        <v>256</v>
      </c>
      <c r="B15" s="7">
        <v>9392636.0</v>
      </c>
      <c r="C15" s="9">
        <v>46204.0</v>
      </c>
      <c r="D15" s="7">
        <v>6.0</v>
      </c>
      <c r="E15" s="7" t="s">
        <v>53</v>
      </c>
      <c r="F15" s="7" t="s">
        <v>66</v>
      </c>
      <c r="G15" s="7" t="s">
        <v>55</v>
      </c>
      <c r="H15" s="12" t="s">
        <v>934</v>
      </c>
      <c r="I15" s="12" t="s">
        <v>935</v>
      </c>
    </row>
    <row r="16">
      <c r="A16" s="7" t="s">
        <v>256</v>
      </c>
      <c r="B16" s="7">
        <v>5077690.0</v>
      </c>
      <c r="C16" s="9">
        <v>46147.0</v>
      </c>
      <c r="D16" s="7">
        <v>3.0</v>
      </c>
      <c r="E16" s="7" t="s">
        <v>82</v>
      </c>
      <c r="F16" s="7" t="s">
        <v>110</v>
      </c>
      <c r="G16" s="7" t="s">
        <v>55</v>
      </c>
      <c r="H16" s="12" t="s">
        <v>936</v>
      </c>
      <c r="I16" s="12" t="s">
        <v>937</v>
      </c>
    </row>
    <row r="17">
      <c r="A17" s="7" t="s">
        <v>256</v>
      </c>
      <c r="B17" s="7">
        <v>8292804.0</v>
      </c>
      <c r="C17" s="9">
        <v>46139.0</v>
      </c>
      <c r="D17" s="7">
        <v>6.0</v>
      </c>
      <c r="E17" s="7" t="s">
        <v>82</v>
      </c>
      <c r="F17" s="7" t="s">
        <v>142</v>
      </c>
      <c r="G17" s="7" t="s">
        <v>55</v>
      </c>
      <c r="H17" s="12" t="s">
        <v>940</v>
      </c>
      <c r="I17" s="12" t="s">
        <v>941</v>
      </c>
    </row>
    <row r="18">
      <c r="A18" s="7" t="s">
        <v>256</v>
      </c>
      <c r="B18" s="7">
        <v>316407.0</v>
      </c>
      <c r="C18" s="9">
        <v>44721.0</v>
      </c>
      <c r="D18" s="7">
        <v>4.0</v>
      </c>
      <c r="E18" s="7" t="s">
        <v>82</v>
      </c>
      <c r="F18" s="7" t="s">
        <v>80</v>
      </c>
      <c r="G18" s="7" t="s">
        <v>55</v>
      </c>
      <c r="H18" s="12" t="s">
        <v>942</v>
      </c>
      <c r="I18" s="12" t="s">
        <v>943</v>
      </c>
    </row>
    <row r="19">
      <c r="A19" s="7" t="s">
        <v>256</v>
      </c>
      <c r="B19" s="7">
        <v>29053.0</v>
      </c>
      <c r="C19" s="9">
        <v>44427.0</v>
      </c>
      <c r="D19" s="7">
        <v>5.0</v>
      </c>
      <c r="E19" s="7" t="s">
        <v>82</v>
      </c>
      <c r="F19" s="7" t="s">
        <v>80</v>
      </c>
      <c r="G19" s="7" t="s">
        <v>55</v>
      </c>
      <c r="H19" s="12" t="s">
        <v>946</v>
      </c>
      <c r="I19" s="12" t="s">
        <v>947</v>
      </c>
    </row>
    <row r="20">
      <c r="A20" s="7" t="s">
        <v>394</v>
      </c>
      <c r="B20" s="7">
        <v>4888133.0</v>
      </c>
      <c r="C20" s="9">
        <v>45812.0</v>
      </c>
      <c r="D20" s="7">
        <v>7.0</v>
      </c>
      <c r="E20" s="7" t="s">
        <v>53</v>
      </c>
      <c r="F20" s="7" t="s">
        <v>66</v>
      </c>
      <c r="G20" s="7" t="s">
        <v>55</v>
      </c>
      <c r="H20" s="12" t="s">
        <v>948</v>
      </c>
      <c r="I20" s="12" t="s">
        <v>949</v>
      </c>
    </row>
    <row r="21" ht="15.75" customHeight="1">
      <c r="A21" s="7" t="s">
        <v>394</v>
      </c>
      <c r="B21" s="7">
        <v>689016.0</v>
      </c>
      <c r="C21" s="9">
        <v>44866.0</v>
      </c>
      <c r="D21" s="7">
        <v>1.0</v>
      </c>
      <c r="E21" s="7" t="s">
        <v>79</v>
      </c>
      <c r="F21" s="7" t="s">
        <v>110</v>
      </c>
      <c r="G21" s="7" t="s">
        <v>55</v>
      </c>
      <c r="H21" s="12" t="s">
        <v>951</v>
      </c>
      <c r="I21" s="12" t="s">
        <v>952</v>
      </c>
    </row>
    <row r="22" ht="15.75" customHeight="1">
      <c r="A22" s="7" t="s">
        <v>394</v>
      </c>
      <c r="B22" s="7">
        <v>827446.0</v>
      </c>
      <c r="C22" s="9">
        <v>44634.0</v>
      </c>
      <c r="D22" s="7">
        <v>6.0</v>
      </c>
      <c r="E22" s="7" t="s">
        <v>79</v>
      </c>
      <c r="F22" s="7" t="s">
        <v>110</v>
      </c>
      <c r="G22" s="7" t="s">
        <v>55</v>
      </c>
      <c r="H22" s="12" t="s">
        <v>955</v>
      </c>
      <c r="I22" s="12" t="s">
        <v>956</v>
      </c>
    </row>
    <row r="23" ht="15.75" customHeight="1">
      <c r="A23" s="7" t="s">
        <v>394</v>
      </c>
      <c r="B23" s="7">
        <v>130828.0</v>
      </c>
      <c r="C23" s="9">
        <v>44344.0</v>
      </c>
      <c r="D23" s="7">
        <v>8.0</v>
      </c>
      <c r="E23" s="7" t="s">
        <v>79</v>
      </c>
      <c r="F23" s="7" t="s">
        <v>124</v>
      </c>
      <c r="G23" s="7" t="s">
        <v>55</v>
      </c>
      <c r="H23" s="12" t="s">
        <v>958</v>
      </c>
      <c r="I23" s="12" t="s">
        <v>959</v>
      </c>
    </row>
    <row r="24" ht="15.75" customHeight="1">
      <c r="A24" s="7" t="s">
        <v>394</v>
      </c>
      <c r="B24" s="7">
        <v>116024.0</v>
      </c>
      <c r="C24" s="9">
        <v>44259.0</v>
      </c>
      <c r="D24" s="7">
        <v>1.0</v>
      </c>
      <c r="E24" s="7" t="s">
        <v>53</v>
      </c>
      <c r="F24" s="7" t="s">
        <v>80</v>
      </c>
      <c r="G24" s="7" t="s">
        <v>55</v>
      </c>
      <c r="H24" s="12" t="s">
        <v>961</v>
      </c>
      <c r="I24" s="12" t="s">
        <v>962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4"/>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648473.0</v>
      </c>
      <c r="C2" s="9">
        <v>46189.0</v>
      </c>
      <c r="D2" s="7">
        <v>4.0</v>
      </c>
      <c r="E2" s="7" t="s">
        <v>53</v>
      </c>
      <c r="F2" s="7" t="s">
        <v>66</v>
      </c>
      <c r="G2" s="7" t="s">
        <v>55</v>
      </c>
      <c r="H2" s="12" t="s">
        <v>970</v>
      </c>
      <c r="I2" s="12" t="s">
        <v>972</v>
      </c>
    </row>
    <row r="3">
      <c r="A3" s="11" t="s">
        <v>49</v>
      </c>
      <c r="B3" s="7">
        <v>7914516.0</v>
      </c>
      <c r="C3" s="9">
        <v>46153.0</v>
      </c>
      <c r="D3" s="7">
        <v>1.0</v>
      </c>
      <c r="E3" s="7" t="s">
        <v>53</v>
      </c>
      <c r="F3" s="7" t="s">
        <v>110</v>
      </c>
      <c r="G3" s="7" t="s">
        <v>55</v>
      </c>
      <c r="H3" s="12" t="s">
        <v>973</v>
      </c>
      <c r="I3" s="12" t="s">
        <v>975</v>
      </c>
    </row>
    <row r="4">
      <c r="A4" s="11" t="s">
        <v>49</v>
      </c>
      <c r="B4" s="7">
        <v>6362442.0</v>
      </c>
      <c r="C4" s="9">
        <v>45688.0</v>
      </c>
      <c r="D4" s="7">
        <v>5.0</v>
      </c>
      <c r="E4" s="7" t="s">
        <v>82</v>
      </c>
      <c r="F4" s="7" t="s">
        <v>108</v>
      </c>
      <c r="G4" s="7" t="s">
        <v>55</v>
      </c>
      <c r="H4" s="12" t="s">
        <v>978</v>
      </c>
      <c r="I4" s="12" t="s">
        <v>980</v>
      </c>
    </row>
    <row r="5">
      <c r="A5" s="11" t="s">
        <v>49</v>
      </c>
      <c r="B5" s="7">
        <v>26022.0</v>
      </c>
      <c r="C5" s="9">
        <v>45381.0</v>
      </c>
      <c r="D5" s="7">
        <v>5.0</v>
      </c>
      <c r="E5" s="7" t="s">
        <v>53</v>
      </c>
      <c r="F5" s="7" t="s">
        <v>80</v>
      </c>
      <c r="G5" s="7" t="s">
        <v>55</v>
      </c>
      <c r="H5" s="12" t="s">
        <v>983</v>
      </c>
      <c r="I5" s="12" t="s">
        <v>984</v>
      </c>
    </row>
    <row r="6">
      <c r="A6" s="11" t="s">
        <v>49</v>
      </c>
      <c r="B6" s="7">
        <v>1193270.0</v>
      </c>
      <c r="C6" s="9">
        <v>44733.0</v>
      </c>
      <c r="D6" s="7">
        <v>7.0</v>
      </c>
      <c r="E6" s="7" t="s">
        <v>53</v>
      </c>
      <c r="F6" s="7" t="s">
        <v>66</v>
      </c>
      <c r="G6" s="7" t="s">
        <v>55</v>
      </c>
      <c r="H6" s="12" t="s">
        <v>987</v>
      </c>
      <c r="I6" s="12" t="s">
        <v>988</v>
      </c>
    </row>
    <row r="7">
      <c r="A7" s="7" t="s">
        <v>394</v>
      </c>
      <c r="B7" s="7">
        <v>8910983.0</v>
      </c>
      <c r="C7" s="9">
        <v>46251.0</v>
      </c>
      <c r="D7" s="7">
        <v>2.0</v>
      </c>
      <c r="E7" s="7" t="s">
        <v>53</v>
      </c>
      <c r="F7" s="7" t="s">
        <v>138</v>
      </c>
      <c r="G7" s="7" t="s">
        <v>55</v>
      </c>
      <c r="H7" s="12" t="s">
        <v>992</v>
      </c>
      <c r="I7" s="12" t="s">
        <v>993</v>
      </c>
    </row>
    <row r="8">
      <c r="A8" s="7" t="s">
        <v>394</v>
      </c>
      <c r="B8" s="7">
        <v>6459991.0</v>
      </c>
      <c r="C8" s="9">
        <v>46211.0</v>
      </c>
      <c r="D8" s="7">
        <v>7.0</v>
      </c>
      <c r="E8" s="7" t="s">
        <v>53</v>
      </c>
      <c r="F8" s="7" t="s">
        <v>66</v>
      </c>
      <c r="G8" s="7" t="s">
        <v>55</v>
      </c>
      <c r="H8" s="12" t="s">
        <v>994</v>
      </c>
      <c r="I8" s="12" t="s">
        <v>995</v>
      </c>
    </row>
    <row r="9">
      <c r="A9" s="7" t="s">
        <v>394</v>
      </c>
      <c r="B9" s="7">
        <v>2985139.0</v>
      </c>
      <c r="C9" s="9">
        <v>46055.0</v>
      </c>
      <c r="D9" s="7">
        <v>4.0</v>
      </c>
      <c r="E9" s="7" t="s">
        <v>53</v>
      </c>
      <c r="F9" s="7" t="s">
        <v>655</v>
      </c>
      <c r="G9" s="7" t="s">
        <v>55</v>
      </c>
      <c r="H9" s="12" t="s">
        <v>998</v>
      </c>
      <c r="I9" s="12" t="s">
        <v>999</v>
      </c>
    </row>
    <row r="10">
      <c r="A10" s="7" t="s">
        <v>394</v>
      </c>
      <c r="B10" s="7">
        <v>648473.0</v>
      </c>
      <c r="C10" s="9">
        <v>45373.0</v>
      </c>
      <c r="D10" s="7">
        <v>6.0</v>
      </c>
      <c r="E10" s="7" t="s">
        <v>53</v>
      </c>
      <c r="F10" s="7" t="s">
        <v>66</v>
      </c>
      <c r="G10" s="7" t="s">
        <v>55</v>
      </c>
      <c r="H10" s="12" t="s">
        <v>1002</v>
      </c>
      <c r="I10" s="12" t="s">
        <v>1003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0"/>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7245148.0</v>
      </c>
      <c r="C2" s="9">
        <v>46148.0</v>
      </c>
      <c r="D2" s="7">
        <v>3.0</v>
      </c>
      <c r="E2" s="7" t="s">
        <v>53</v>
      </c>
      <c r="F2" s="7" t="s">
        <v>66</v>
      </c>
      <c r="G2" s="7" t="s">
        <v>55</v>
      </c>
      <c r="H2" s="12" t="s">
        <v>1052</v>
      </c>
      <c r="I2" s="12" t="s">
        <v>1053</v>
      </c>
    </row>
    <row r="3">
      <c r="A3" s="11" t="s">
        <v>49</v>
      </c>
      <c r="B3" s="7">
        <v>8039009.0</v>
      </c>
      <c r="C3" s="9">
        <v>46147.0</v>
      </c>
      <c r="D3" s="7">
        <v>3.0</v>
      </c>
      <c r="E3" s="7" t="s">
        <v>82</v>
      </c>
      <c r="F3" s="7" t="s">
        <v>272</v>
      </c>
      <c r="G3" s="7" t="s">
        <v>55</v>
      </c>
      <c r="H3" s="12" t="s">
        <v>1057</v>
      </c>
      <c r="I3" s="12" t="s">
        <v>1058</v>
      </c>
    </row>
    <row r="4">
      <c r="A4" s="11" t="s">
        <v>49</v>
      </c>
      <c r="B4" s="7">
        <v>8023722.0</v>
      </c>
      <c r="C4" s="9">
        <v>46115.0</v>
      </c>
      <c r="D4" s="7">
        <v>3.0</v>
      </c>
      <c r="E4" s="7" t="s">
        <v>53</v>
      </c>
      <c r="F4" s="7" t="s">
        <v>66</v>
      </c>
      <c r="G4" s="7" t="s">
        <v>55</v>
      </c>
      <c r="H4" s="12" t="s">
        <v>1059</v>
      </c>
      <c r="I4" s="12" t="s">
        <v>1060</v>
      </c>
    </row>
    <row r="5">
      <c r="A5" s="11" t="s">
        <v>49</v>
      </c>
      <c r="B5" s="7">
        <v>7436174.0</v>
      </c>
      <c r="C5" s="9">
        <v>45954.0</v>
      </c>
      <c r="D5" s="7">
        <v>2.0</v>
      </c>
      <c r="E5" s="7" t="s">
        <v>53</v>
      </c>
      <c r="F5" s="7" t="s">
        <v>73</v>
      </c>
      <c r="G5" s="7" t="s">
        <v>55</v>
      </c>
      <c r="H5" s="12" t="s">
        <v>1063</v>
      </c>
      <c r="I5" s="12" t="s">
        <v>1064</v>
      </c>
    </row>
    <row r="6">
      <c r="A6" s="11" t="s">
        <v>49</v>
      </c>
      <c r="B6" s="7">
        <v>3098843.0</v>
      </c>
      <c r="C6" s="9">
        <v>45928.0</v>
      </c>
      <c r="D6" s="7">
        <v>7.0</v>
      </c>
      <c r="E6" s="7" t="s">
        <v>82</v>
      </c>
      <c r="F6" s="7" t="s">
        <v>83</v>
      </c>
      <c r="G6" s="7" t="s">
        <v>55</v>
      </c>
      <c r="H6" s="12" t="s">
        <v>1065</v>
      </c>
      <c r="I6" s="12" t="s">
        <v>1066</v>
      </c>
    </row>
    <row r="7">
      <c r="A7" s="11" t="s">
        <v>49</v>
      </c>
      <c r="B7" s="7">
        <v>3486382.0</v>
      </c>
      <c r="C7" s="9">
        <v>45863.0</v>
      </c>
      <c r="D7" s="7">
        <v>6.0</v>
      </c>
      <c r="E7" s="7" t="s">
        <v>53</v>
      </c>
      <c r="F7" s="7" t="s">
        <v>66</v>
      </c>
      <c r="G7" s="7" t="s">
        <v>55</v>
      </c>
      <c r="H7" s="12" t="s">
        <v>1068</v>
      </c>
      <c r="I7" s="12" t="s">
        <v>286</v>
      </c>
    </row>
    <row r="8">
      <c r="A8" s="11" t="s">
        <v>49</v>
      </c>
      <c r="B8" s="7">
        <v>3305096.0</v>
      </c>
      <c r="C8" s="9">
        <v>45792.0</v>
      </c>
      <c r="D8" s="7">
        <v>10.0</v>
      </c>
      <c r="E8" s="7" t="s">
        <v>53</v>
      </c>
      <c r="F8" s="7" t="s">
        <v>66</v>
      </c>
      <c r="G8" s="7" t="s">
        <v>55</v>
      </c>
      <c r="H8" s="12" t="s">
        <v>1071</v>
      </c>
      <c r="I8" s="12" t="s">
        <v>1072</v>
      </c>
    </row>
    <row r="9">
      <c r="A9" s="11" t="s">
        <v>49</v>
      </c>
      <c r="B9" s="7">
        <v>4892608.0</v>
      </c>
      <c r="C9" s="9">
        <v>45612.0</v>
      </c>
      <c r="D9" s="7">
        <v>10.0</v>
      </c>
      <c r="E9" s="7" t="s">
        <v>79</v>
      </c>
      <c r="F9" s="7" t="s">
        <v>80</v>
      </c>
      <c r="G9" s="7" t="s">
        <v>55</v>
      </c>
      <c r="H9" s="12" t="s">
        <v>1073</v>
      </c>
      <c r="I9" s="12" t="s">
        <v>1074</v>
      </c>
    </row>
    <row r="10">
      <c r="A10" s="11" t="s">
        <v>49</v>
      </c>
      <c r="B10" s="7">
        <v>4080419.0</v>
      </c>
      <c r="C10" s="9">
        <v>45357.0</v>
      </c>
      <c r="D10" s="7">
        <v>1.0</v>
      </c>
      <c r="E10" s="7" t="s">
        <v>79</v>
      </c>
      <c r="F10" s="7" t="s">
        <v>80</v>
      </c>
      <c r="G10" s="7" t="s">
        <v>55</v>
      </c>
      <c r="H10" s="12" t="s">
        <v>1076</v>
      </c>
      <c r="I10" s="12" t="s">
        <v>1077</v>
      </c>
    </row>
    <row r="11">
      <c r="A11" s="11" t="s">
        <v>49</v>
      </c>
      <c r="B11" s="7">
        <v>2842975.0</v>
      </c>
      <c r="C11" s="9">
        <v>45320.0</v>
      </c>
      <c r="D11" s="7">
        <v>4.0</v>
      </c>
      <c r="E11" s="7" t="s">
        <v>79</v>
      </c>
      <c r="F11" s="7" t="s">
        <v>80</v>
      </c>
      <c r="G11" s="7" t="s">
        <v>55</v>
      </c>
      <c r="H11" s="12" t="s">
        <v>1078</v>
      </c>
      <c r="I11" s="12" t="s">
        <v>1079</v>
      </c>
    </row>
    <row r="12">
      <c r="A12" s="11" t="s">
        <v>49</v>
      </c>
      <c r="B12" s="7">
        <v>446034.0</v>
      </c>
      <c r="C12" s="9">
        <v>44837.0</v>
      </c>
      <c r="D12" s="7">
        <v>1.0</v>
      </c>
      <c r="E12" s="7" t="s">
        <v>53</v>
      </c>
      <c r="F12" s="7" t="s">
        <v>66</v>
      </c>
      <c r="G12" s="7" t="s">
        <v>55</v>
      </c>
      <c r="H12" s="12" t="s">
        <v>1082</v>
      </c>
      <c r="I12" s="12" t="s">
        <v>1083</v>
      </c>
    </row>
    <row r="13">
      <c r="A13" s="11" t="s">
        <v>49</v>
      </c>
      <c r="B13" s="7">
        <v>537081.0</v>
      </c>
      <c r="C13" s="9">
        <v>44697.0</v>
      </c>
      <c r="D13" s="7">
        <v>10.0</v>
      </c>
      <c r="E13" s="7" t="s">
        <v>53</v>
      </c>
      <c r="F13" s="7" t="s">
        <v>66</v>
      </c>
      <c r="G13" s="7" t="s">
        <v>55</v>
      </c>
      <c r="H13" s="12" t="s">
        <v>1084</v>
      </c>
      <c r="I13" s="12" t="s">
        <v>1085</v>
      </c>
    </row>
    <row r="14">
      <c r="A14" s="11" t="s">
        <v>49</v>
      </c>
      <c r="B14" s="7">
        <v>860439.0</v>
      </c>
      <c r="C14" s="9">
        <v>44672.0</v>
      </c>
      <c r="D14" s="7">
        <v>5.0</v>
      </c>
      <c r="E14" s="7" t="s">
        <v>53</v>
      </c>
      <c r="F14" s="7" t="s">
        <v>66</v>
      </c>
      <c r="G14" s="7" t="s">
        <v>55</v>
      </c>
      <c r="H14" s="12" t="s">
        <v>1088</v>
      </c>
      <c r="I14" s="12" t="s">
        <v>1089</v>
      </c>
    </row>
    <row r="15">
      <c r="A15" s="11" t="s">
        <v>49</v>
      </c>
      <c r="B15" s="7">
        <v>492460.0</v>
      </c>
      <c r="C15" s="9">
        <v>44613.0</v>
      </c>
      <c r="D15" s="7">
        <v>6.0</v>
      </c>
      <c r="E15" s="7" t="s">
        <v>53</v>
      </c>
      <c r="F15" s="7" t="s">
        <v>66</v>
      </c>
      <c r="G15" s="7" t="s">
        <v>55</v>
      </c>
      <c r="H15" s="12" t="s">
        <v>1090</v>
      </c>
      <c r="I15" s="12" t="s">
        <v>747</v>
      </c>
    </row>
    <row r="16">
      <c r="A16" s="11" t="s">
        <v>49</v>
      </c>
      <c r="B16" s="7">
        <v>214604.0</v>
      </c>
      <c r="C16" s="9">
        <v>44270.0</v>
      </c>
      <c r="D16" s="7">
        <v>6.0</v>
      </c>
      <c r="E16" s="7" t="s">
        <v>53</v>
      </c>
      <c r="F16" s="7" t="s">
        <v>80</v>
      </c>
      <c r="G16" s="7" t="s">
        <v>55</v>
      </c>
      <c r="H16" s="12" t="s">
        <v>1091</v>
      </c>
      <c r="I16" s="12" t="s">
        <v>393</v>
      </c>
    </row>
    <row r="17">
      <c r="A17" s="7" t="s">
        <v>256</v>
      </c>
      <c r="B17" s="7">
        <v>7746601.0</v>
      </c>
      <c r="C17" s="9">
        <v>46156.0</v>
      </c>
      <c r="D17" s="7">
        <v>3.0</v>
      </c>
      <c r="E17" s="7" t="s">
        <v>82</v>
      </c>
      <c r="F17" s="7" t="s">
        <v>69</v>
      </c>
      <c r="G17" s="7" t="s">
        <v>55</v>
      </c>
      <c r="H17" s="12" t="s">
        <v>1094</v>
      </c>
      <c r="I17" s="12" t="s">
        <v>1095</v>
      </c>
    </row>
    <row r="18">
      <c r="A18" s="7" t="s">
        <v>256</v>
      </c>
      <c r="B18" s="7">
        <v>5692731.0</v>
      </c>
      <c r="C18" s="9">
        <v>46028.0</v>
      </c>
      <c r="D18" s="7">
        <v>4.0</v>
      </c>
      <c r="E18" s="7" t="s">
        <v>53</v>
      </c>
      <c r="F18" s="7" t="s">
        <v>66</v>
      </c>
      <c r="G18" s="7" t="s">
        <v>55</v>
      </c>
      <c r="H18" s="12" t="s">
        <v>1096</v>
      </c>
      <c r="I18" s="12" t="s">
        <v>1097</v>
      </c>
    </row>
    <row r="19">
      <c r="A19" s="7" t="s">
        <v>256</v>
      </c>
      <c r="B19" s="7">
        <v>4742670.0</v>
      </c>
      <c r="C19" s="9">
        <v>45671.0</v>
      </c>
      <c r="D19" s="7">
        <v>10.0</v>
      </c>
      <c r="E19" s="7" t="s">
        <v>53</v>
      </c>
      <c r="F19" s="7" t="s">
        <v>662</v>
      </c>
      <c r="G19" s="7" t="s">
        <v>55</v>
      </c>
      <c r="H19" s="12" t="s">
        <v>1098</v>
      </c>
      <c r="I19" s="12" t="s">
        <v>665</v>
      </c>
    </row>
    <row r="20">
      <c r="A20" s="7" t="s">
        <v>256</v>
      </c>
      <c r="B20" s="7">
        <v>3252239.0</v>
      </c>
      <c r="C20" s="9">
        <v>45463.0</v>
      </c>
      <c r="D20" s="7">
        <v>7.0</v>
      </c>
      <c r="E20" s="7" t="s">
        <v>53</v>
      </c>
      <c r="F20" s="7" t="s">
        <v>80</v>
      </c>
      <c r="G20" s="7" t="s">
        <v>55</v>
      </c>
      <c r="H20" s="12" t="s">
        <v>1101</v>
      </c>
      <c r="I20" s="12" t="s">
        <v>1102</v>
      </c>
    </row>
    <row r="21" ht="15.75" customHeight="1">
      <c r="A21" s="7" t="s">
        <v>256</v>
      </c>
      <c r="B21" s="7">
        <v>1931352.0</v>
      </c>
      <c r="C21" s="9">
        <v>45412.0</v>
      </c>
      <c r="D21" s="7">
        <v>3.0</v>
      </c>
      <c r="E21" s="7" t="s">
        <v>79</v>
      </c>
      <c r="F21" s="7" t="s">
        <v>655</v>
      </c>
      <c r="G21" s="7" t="s">
        <v>55</v>
      </c>
      <c r="H21" s="12" t="s">
        <v>1103</v>
      </c>
      <c r="I21" s="12" t="s">
        <v>1105</v>
      </c>
    </row>
    <row r="22" ht="15.75" customHeight="1">
      <c r="A22" s="7" t="s">
        <v>256</v>
      </c>
      <c r="B22" s="7">
        <v>140337.0</v>
      </c>
      <c r="C22" s="9">
        <v>45247.0</v>
      </c>
      <c r="D22" s="7">
        <v>1.0</v>
      </c>
      <c r="E22" s="7" t="s">
        <v>79</v>
      </c>
      <c r="F22" s="7" t="s">
        <v>124</v>
      </c>
      <c r="G22" s="7" t="s">
        <v>55</v>
      </c>
      <c r="H22" s="12" t="s">
        <v>1107</v>
      </c>
      <c r="I22" s="12" t="s">
        <v>1108</v>
      </c>
    </row>
    <row r="23" ht="15.75" customHeight="1">
      <c r="A23" s="7" t="s">
        <v>256</v>
      </c>
      <c r="B23" s="7">
        <v>2090578.0</v>
      </c>
      <c r="C23" s="9">
        <v>45184.0</v>
      </c>
      <c r="D23" s="7">
        <v>3.0</v>
      </c>
      <c r="E23" s="7" t="s">
        <v>53</v>
      </c>
      <c r="F23" s="7" t="s">
        <v>655</v>
      </c>
      <c r="G23" s="7" t="s">
        <v>55</v>
      </c>
      <c r="H23" s="12" t="s">
        <v>1109</v>
      </c>
      <c r="I23" s="12" t="s">
        <v>692</v>
      </c>
    </row>
    <row r="24" ht="15.75" customHeight="1">
      <c r="A24" s="7" t="s">
        <v>256</v>
      </c>
      <c r="B24" s="7">
        <v>2710915.0</v>
      </c>
      <c r="C24" s="9">
        <v>45167.0</v>
      </c>
      <c r="D24" s="7">
        <v>2.0</v>
      </c>
      <c r="E24" s="7" t="s">
        <v>79</v>
      </c>
      <c r="F24" s="7" t="s">
        <v>80</v>
      </c>
      <c r="G24" s="7" t="s">
        <v>55</v>
      </c>
      <c r="H24" s="12" t="s">
        <v>1112</v>
      </c>
      <c r="I24" s="12" t="s">
        <v>1113</v>
      </c>
    </row>
    <row r="25" ht="15.75" customHeight="1">
      <c r="A25" s="7" t="s">
        <v>256</v>
      </c>
      <c r="B25" s="7">
        <v>2431737.0</v>
      </c>
      <c r="C25" s="9">
        <v>45015.0</v>
      </c>
      <c r="D25" s="7">
        <v>1.0</v>
      </c>
      <c r="E25" s="7" t="s">
        <v>79</v>
      </c>
      <c r="F25" s="7" t="s">
        <v>142</v>
      </c>
      <c r="G25" s="7" t="s">
        <v>55</v>
      </c>
      <c r="H25" s="12" t="s">
        <v>1115</v>
      </c>
      <c r="I25" s="12" t="s">
        <v>356</v>
      </c>
    </row>
    <row r="26" ht="15.75" customHeight="1">
      <c r="A26" s="7" t="s">
        <v>256</v>
      </c>
      <c r="B26" s="7">
        <v>702214.0</v>
      </c>
      <c r="C26" s="9">
        <v>44800.0</v>
      </c>
      <c r="D26" s="7">
        <v>3.0</v>
      </c>
      <c r="E26" s="7" t="s">
        <v>53</v>
      </c>
      <c r="F26" s="7" t="s">
        <v>80</v>
      </c>
      <c r="G26" s="7" t="s">
        <v>55</v>
      </c>
      <c r="H26" s="12" t="s">
        <v>1116</v>
      </c>
      <c r="I26" s="12" t="s">
        <v>1117</v>
      </c>
    </row>
    <row r="27" ht="15.75" customHeight="1">
      <c r="A27" s="7" t="s">
        <v>256</v>
      </c>
      <c r="B27" s="7">
        <v>1410270.0</v>
      </c>
      <c r="C27" s="9">
        <v>44788.0</v>
      </c>
      <c r="D27" s="7">
        <v>4.0</v>
      </c>
      <c r="E27" s="7" t="s">
        <v>82</v>
      </c>
      <c r="F27" s="7" t="s">
        <v>80</v>
      </c>
      <c r="G27" s="7" t="s">
        <v>55</v>
      </c>
      <c r="H27" s="12" t="s">
        <v>1120</v>
      </c>
      <c r="I27" s="12" t="s">
        <v>1121</v>
      </c>
    </row>
    <row r="28" ht="15.75" customHeight="1">
      <c r="A28" s="7" t="s">
        <v>394</v>
      </c>
      <c r="B28" s="7">
        <v>678048.0</v>
      </c>
      <c r="C28" s="9">
        <v>44986.0</v>
      </c>
      <c r="D28" s="7">
        <v>7.0</v>
      </c>
      <c r="E28" s="7" t="s">
        <v>82</v>
      </c>
      <c r="F28" s="7" t="s">
        <v>110</v>
      </c>
      <c r="G28" s="7" t="s">
        <v>55</v>
      </c>
      <c r="H28" s="12" t="s">
        <v>1122</v>
      </c>
      <c r="I28" s="12" t="s">
        <v>1123</v>
      </c>
    </row>
    <row r="29" ht="15.75" customHeight="1">
      <c r="A29" s="7" t="s">
        <v>394</v>
      </c>
      <c r="B29" s="7">
        <v>589613.0</v>
      </c>
      <c r="C29" s="9">
        <v>44975.0</v>
      </c>
      <c r="D29" s="7">
        <v>5.0</v>
      </c>
      <c r="E29" s="7" t="s">
        <v>82</v>
      </c>
      <c r="F29" s="7" t="s">
        <v>80</v>
      </c>
      <c r="G29" s="7" t="s">
        <v>55</v>
      </c>
      <c r="H29" s="12" t="s">
        <v>1125</v>
      </c>
      <c r="I29" s="12" t="s">
        <v>1126</v>
      </c>
    </row>
    <row r="30" ht="15.75" customHeight="1">
      <c r="A30" s="7" t="s">
        <v>394</v>
      </c>
      <c r="B30" s="7">
        <v>511896.0</v>
      </c>
      <c r="C30" s="9">
        <v>44769.0</v>
      </c>
      <c r="D30" s="7">
        <v>8.0</v>
      </c>
      <c r="E30" s="7" t="s">
        <v>53</v>
      </c>
      <c r="F30" s="7" t="s">
        <v>80</v>
      </c>
      <c r="G30" s="7" t="s">
        <v>55</v>
      </c>
      <c r="H30" s="12" t="s">
        <v>1127</v>
      </c>
      <c r="I30" s="12" t="s">
        <v>1128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30"/>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7" t="s">
        <v>256</v>
      </c>
      <c r="B2" s="7">
        <v>6276279.0</v>
      </c>
      <c r="C2" s="9">
        <v>45663.0</v>
      </c>
      <c r="D2" s="7">
        <v>1.0</v>
      </c>
      <c r="E2" s="7" t="s">
        <v>82</v>
      </c>
      <c r="F2" s="7" t="s">
        <v>110</v>
      </c>
      <c r="G2" s="7" t="s">
        <v>55</v>
      </c>
      <c r="H2" s="12" t="s">
        <v>1134</v>
      </c>
      <c r="I2" s="12" t="s">
        <v>164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3104383.0</v>
      </c>
      <c r="C2" s="9">
        <v>46158.0</v>
      </c>
      <c r="D2" s="7">
        <v>5.0</v>
      </c>
      <c r="E2" s="7" t="s">
        <v>82</v>
      </c>
      <c r="F2" s="7" t="s">
        <v>83</v>
      </c>
      <c r="G2" s="7" t="s">
        <v>55</v>
      </c>
      <c r="H2" s="12" t="s">
        <v>1218</v>
      </c>
      <c r="I2" s="12" t="s">
        <v>1219</v>
      </c>
    </row>
    <row r="3">
      <c r="A3" s="11" t="s">
        <v>49</v>
      </c>
      <c r="B3" s="7">
        <v>3305982.0</v>
      </c>
      <c r="C3" s="9">
        <v>46146.0</v>
      </c>
      <c r="D3" s="7">
        <v>0.0</v>
      </c>
      <c r="E3" s="7" t="s">
        <v>79</v>
      </c>
      <c r="F3" s="7" t="s">
        <v>80</v>
      </c>
      <c r="G3" s="7" t="s">
        <v>55</v>
      </c>
      <c r="H3" s="12" t="s">
        <v>1220</v>
      </c>
      <c r="I3" s="12" t="s">
        <v>1221</v>
      </c>
    </row>
    <row r="4">
      <c r="A4" s="11" t="s">
        <v>49</v>
      </c>
      <c r="B4" s="7">
        <v>7578799.0</v>
      </c>
      <c r="C4" s="9">
        <v>46128.0</v>
      </c>
      <c r="D4" s="7">
        <v>5.0</v>
      </c>
      <c r="E4" s="7" t="s">
        <v>53</v>
      </c>
      <c r="F4" s="7" t="s">
        <v>66</v>
      </c>
      <c r="G4" s="7" t="s">
        <v>55</v>
      </c>
      <c r="H4" s="12" t="s">
        <v>1224</v>
      </c>
      <c r="I4" s="12" t="s">
        <v>1225</v>
      </c>
    </row>
    <row r="5">
      <c r="A5" s="11" t="s">
        <v>49</v>
      </c>
      <c r="B5" s="7">
        <v>2975066.0</v>
      </c>
      <c r="C5" s="9">
        <v>46028.0</v>
      </c>
      <c r="D5" s="7">
        <v>3.0</v>
      </c>
      <c r="E5" s="7" t="s">
        <v>79</v>
      </c>
      <c r="F5" s="7" t="s">
        <v>80</v>
      </c>
      <c r="G5" s="7" t="s">
        <v>55</v>
      </c>
      <c r="H5" s="12" t="s">
        <v>1227</v>
      </c>
      <c r="I5" s="12" t="s">
        <v>1228</v>
      </c>
    </row>
    <row r="6">
      <c r="A6" s="11" t="s">
        <v>49</v>
      </c>
      <c r="B6" s="7">
        <v>4460025.0</v>
      </c>
      <c r="C6" s="9">
        <v>45680.0</v>
      </c>
      <c r="D6" s="7">
        <v>1.0</v>
      </c>
      <c r="E6" s="7" t="s">
        <v>53</v>
      </c>
      <c r="F6" s="7" t="s">
        <v>66</v>
      </c>
      <c r="G6" s="7" t="s">
        <v>55</v>
      </c>
      <c r="H6" s="12" t="s">
        <v>1229</v>
      </c>
      <c r="I6" s="12" t="s">
        <v>300</v>
      </c>
    </row>
    <row r="7">
      <c r="A7" s="11" t="s">
        <v>49</v>
      </c>
      <c r="B7" s="7">
        <v>3136654.0</v>
      </c>
      <c r="C7" s="9">
        <v>45419.0</v>
      </c>
      <c r="D7" s="7">
        <v>1.0</v>
      </c>
      <c r="E7" s="7" t="s">
        <v>53</v>
      </c>
      <c r="F7" s="7" t="s">
        <v>80</v>
      </c>
      <c r="G7" s="7" t="s">
        <v>55</v>
      </c>
      <c r="H7" s="12" t="s">
        <v>1233</v>
      </c>
      <c r="I7" s="12" t="s">
        <v>320</v>
      </c>
    </row>
    <row r="8">
      <c r="A8" s="11" t="s">
        <v>49</v>
      </c>
      <c r="B8" s="7">
        <v>251318.0</v>
      </c>
      <c r="C8" s="9">
        <v>45379.0</v>
      </c>
      <c r="D8" s="7">
        <v>6.0</v>
      </c>
      <c r="E8" s="7" t="s">
        <v>53</v>
      </c>
      <c r="F8" s="7" t="s">
        <v>80</v>
      </c>
      <c r="G8" s="7" t="s">
        <v>55</v>
      </c>
      <c r="H8" s="12" t="s">
        <v>1235</v>
      </c>
      <c r="I8" s="12" t="s">
        <v>1237</v>
      </c>
    </row>
    <row r="9">
      <c r="A9" s="11" t="s">
        <v>49</v>
      </c>
      <c r="B9" s="7">
        <v>95826.0</v>
      </c>
      <c r="C9" s="9">
        <v>45312.0</v>
      </c>
      <c r="D9" s="7">
        <v>1.0</v>
      </c>
      <c r="E9" s="7" t="s">
        <v>82</v>
      </c>
      <c r="F9" s="7" t="s">
        <v>192</v>
      </c>
      <c r="G9" s="7" t="s">
        <v>55</v>
      </c>
      <c r="H9" s="12" t="s">
        <v>1241</v>
      </c>
      <c r="I9" s="12" t="s">
        <v>195</v>
      </c>
    </row>
    <row r="10">
      <c r="A10" s="11" t="s">
        <v>49</v>
      </c>
      <c r="B10" s="7">
        <v>3096850.0</v>
      </c>
      <c r="C10" s="9">
        <v>45258.0</v>
      </c>
      <c r="D10" s="7">
        <v>1.0</v>
      </c>
      <c r="E10" s="7" t="s">
        <v>53</v>
      </c>
      <c r="F10" s="7" t="s">
        <v>83</v>
      </c>
      <c r="G10" s="7" t="s">
        <v>55</v>
      </c>
      <c r="H10" s="12" t="s">
        <v>1243</v>
      </c>
      <c r="I10" s="12" t="s">
        <v>205</v>
      </c>
    </row>
    <row r="11">
      <c r="A11" s="11" t="s">
        <v>49</v>
      </c>
      <c r="B11" s="7">
        <v>1534777.0</v>
      </c>
      <c r="C11" s="9">
        <v>44979.0</v>
      </c>
      <c r="D11" s="7">
        <v>2.0</v>
      </c>
      <c r="E11" s="7" t="s">
        <v>53</v>
      </c>
      <c r="F11" s="7" t="s">
        <v>80</v>
      </c>
      <c r="G11" s="7" t="s">
        <v>55</v>
      </c>
      <c r="H11" s="12" t="s">
        <v>1244</v>
      </c>
      <c r="I11" s="12" t="s">
        <v>850</v>
      </c>
    </row>
    <row r="12">
      <c r="A12" s="11" t="s">
        <v>49</v>
      </c>
      <c r="B12" s="7">
        <v>926135.0</v>
      </c>
      <c r="C12" s="9">
        <v>44802.0</v>
      </c>
      <c r="D12" s="7">
        <v>6.0</v>
      </c>
      <c r="E12" s="7" t="s">
        <v>53</v>
      </c>
      <c r="F12" s="7" t="s">
        <v>80</v>
      </c>
      <c r="G12" s="7" t="s">
        <v>55</v>
      </c>
      <c r="H12" s="12" t="s">
        <v>1246</v>
      </c>
      <c r="I12" s="12" t="s">
        <v>1247</v>
      </c>
    </row>
    <row r="13">
      <c r="A13" s="7" t="s">
        <v>256</v>
      </c>
      <c r="B13" s="7">
        <v>8910983.0</v>
      </c>
      <c r="C13" s="9">
        <v>46251.0</v>
      </c>
      <c r="D13" s="7">
        <v>2.0</v>
      </c>
      <c r="E13" s="7" t="s">
        <v>53</v>
      </c>
      <c r="F13" s="7" t="s">
        <v>138</v>
      </c>
      <c r="G13" s="7" t="s">
        <v>55</v>
      </c>
      <c r="H13" s="12" t="s">
        <v>1249</v>
      </c>
      <c r="I13" s="12" t="s">
        <v>993</v>
      </c>
    </row>
    <row r="14">
      <c r="A14" s="7" t="s">
        <v>256</v>
      </c>
      <c r="B14" s="7">
        <v>3076526.0</v>
      </c>
      <c r="C14" s="9">
        <v>46028.0</v>
      </c>
      <c r="D14" s="7">
        <v>0.0</v>
      </c>
      <c r="E14" s="7" t="s">
        <v>79</v>
      </c>
      <c r="F14" s="7" t="s">
        <v>110</v>
      </c>
      <c r="G14" s="7" t="s">
        <v>55</v>
      </c>
      <c r="H14" s="12" t="s">
        <v>1252</v>
      </c>
      <c r="I14" s="12" t="s">
        <v>1253</v>
      </c>
    </row>
    <row r="15">
      <c r="A15" s="7" t="s">
        <v>256</v>
      </c>
      <c r="B15" s="7">
        <v>6848029.0</v>
      </c>
      <c r="C15" s="9">
        <v>46010.0</v>
      </c>
      <c r="D15" s="7">
        <v>6.0</v>
      </c>
      <c r="E15" s="7" t="s">
        <v>79</v>
      </c>
      <c r="F15" s="7" t="s">
        <v>80</v>
      </c>
      <c r="G15" s="7" t="s">
        <v>55</v>
      </c>
      <c r="H15" s="12" t="s">
        <v>1256</v>
      </c>
      <c r="I15" s="12" t="s">
        <v>137</v>
      </c>
    </row>
    <row r="16">
      <c r="A16" s="7" t="s">
        <v>256</v>
      </c>
      <c r="B16" s="7">
        <v>3486382.0</v>
      </c>
      <c r="C16" s="9">
        <v>45863.0</v>
      </c>
      <c r="D16" s="7">
        <v>6.0</v>
      </c>
      <c r="E16" s="7" t="s">
        <v>53</v>
      </c>
      <c r="F16" s="7" t="s">
        <v>66</v>
      </c>
      <c r="G16" s="7" t="s">
        <v>55</v>
      </c>
      <c r="H16" s="12" t="s">
        <v>1258</v>
      </c>
      <c r="I16" s="12" t="s">
        <v>286</v>
      </c>
    </row>
    <row r="17">
      <c r="A17" s="7" t="s">
        <v>256</v>
      </c>
      <c r="B17" s="7">
        <v>3067510.0</v>
      </c>
      <c r="C17" s="9">
        <v>45757.0</v>
      </c>
      <c r="D17" s="7">
        <v>8.0</v>
      </c>
      <c r="E17" s="7" t="s">
        <v>82</v>
      </c>
      <c r="F17" s="7" t="s">
        <v>142</v>
      </c>
      <c r="G17" s="7" t="s">
        <v>55</v>
      </c>
      <c r="H17" s="12" t="s">
        <v>1260</v>
      </c>
      <c r="I17" s="12" t="s">
        <v>1261</v>
      </c>
    </row>
    <row r="18">
      <c r="A18" s="7" t="s">
        <v>256</v>
      </c>
      <c r="B18" s="7">
        <v>3101045.0</v>
      </c>
      <c r="C18" s="9">
        <v>45708.0</v>
      </c>
      <c r="D18" s="7">
        <v>1.0</v>
      </c>
      <c r="E18" s="7" t="s">
        <v>53</v>
      </c>
      <c r="F18" s="7" t="s">
        <v>83</v>
      </c>
      <c r="G18" s="7" t="s">
        <v>55</v>
      </c>
      <c r="H18" s="12" t="s">
        <v>1262</v>
      </c>
      <c r="I18" s="12" t="s">
        <v>1264</v>
      </c>
    </row>
    <row r="19">
      <c r="A19" s="7" t="s">
        <v>256</v>
      </c>
      <c r="B19" s="7">
        <v>5335351.0</v>
      </c>
      <c r="C19" s="9">
        <v>45559.0</v>
      </c>
      <c r="D19" s="7">
        <v>3.0</v>
      </c>
      <c r="E19" s="7" t="s">
        <v>53</v>
      </c>
      <c r="F19" s="7" t="s">
        <v>66</v>
      </c>
      <c r="G19" s="7" t="s">
        <v>55</v>
      </c>
      <c r="H19" s="12" t="s">
        <v>1266</v>
      </c>
      <c r="I19" s="12" t="s">
        <v>171</v>
      </c>
    </row>
    <row r="20">
      <c r="A20" s="7" t="s">
        <v>256</v>
      </c>
      <c r="B20" s="7">
        <v>4636760.0</v>
      </c>
      <c r="C20" s="9">
        <v>45436.0</v>
      </c>
      <c r="D20" s="7">
        <v>8.0</v>
      </c>
      <c r="E20" s="7" t="s">
        <v>53</v>
      </c>
      <c r="F20" s="7" t="s">
        <v>80</v>
      </c>
      <c r="G20" s="7" t="s">
        <v>55</v>
      </c>
      <c r="H20" s="12" t="s">
        <v>1268</v>
      </c>
      <c r="I20" s="12" t="s">
        <v>1269</v>
      </c>
    </row>
    <row r="21" ht="15.75" customHeight="1">
      <c r="A21" s="7" t="s">
        <v>256</v>
      </c>
      <c r="B21" s="7">
        <v>1151840.0</v>
      </c>
      <c r="C21" s="9">
        <v>45198.0</v>
      </c>
      <c r="D21" s="7">
        <v>3.0</v>
      </c>
      <c r="E21" s="7" t="s">
        <v>53</v>
      </c>
      <c r="F21" s="7" t="s">
        <v>83</v>
      </c>
      <c r="G21" s="7" t="s">
        <v>55</v>
      </c>
      <c r="H21" s="12" t="s">
        <v>1272</v>
      </c>
      <c r="I21" s="12" t="s">
        <v>208</v>
      </c>
    </row>
    <row r="22" ht="15.75" customHeight="1">
      <c r="A22" s="7" t="s">
        <v>256</v>
      </c>
      <c r="B22" s="7">
        <v>1809400.0</v>
      </c>
      <c r="C22" s="9">
        <v>45027.0</v>
      </c>
      <c r="D22" s="7">
        <v>1.0</v>
      </c>
      <c r="E22" s="7" t="s">
        <v>53</v>
      </c>
      <c r="F22" s="7" t="s">
        <v>110</v>
      </c>
      <c r="G22" s="7" t="s">
        <v>55</v>
      </c>
      <c r="H22" s="12" t="s">
        <v>1275</v>
      </c>
      <c r="I22" s="12" t="s">
        <v>352</v>
      </c>
    </row>
    <row r="23" ht="15.75" customHeight="1">
      <c r="A23" s="7" t="s">
        <v>256</v>
      </c>
      <c r="B23" s="7">
        <v>619855.0</v>
      </c>
      <c r="C23" s="9">
        <v>45026.0</v>
      </c>
      <c r="D23" s="7">
        <v>3.0</v>
      </c>
      <c r="E23" s="7" t="s">
        <v>53</v>
      </c>
      <c r="F23" s="7" t="s">
        <v>66</v>
      </c>
      <c r="G23" s="7" t="s">
        <v>55</v>
      </c>
      <c r="H23" s="12" t="s">
        <v>1278</v>
      </c>
      <c r="I23" s="12" t="s">
        <v>1279</v>
      </c>
    </row>
    <row r="24" ht="15.75" customHeight="1">
      <c r="A24" s="7" t="s">
        <v>256</v>
      </c>
      <c r="B24" s="7">
        <v>1526359.0</v>
      </c>
      <c r="C24" s="9">
        <v>45019.0</v>
      </c>
      <c r="D24" s="7">
        <v>5.0</v>
      </c>
      <c r="E24" s="7" t="s">
        <v>53</v>
      </c>
      <c r="F24" s="7" t="s">
        <v>80</v>
      </c>
      <c r="G24" s="7" t="s">
        <v>55</v>
      </c>
      <c r="H24" s="12" t="s">
        <v>1282</v>
      </c>
      <c r="I24" s="12" t="s">
        <v>700</v>
      </c>
    </row>
    <row r="25" ht="15.75" customHeight="1">
      <c r="A25" s="7" t="s">
        <v>256</v>
      </c>
      <c r="B25" s="7">
        <v>195459.0</v>
      </c>
      <c r="C25" s="9">
        <v>44694.0</v>
      </c>
      <c r="D25" s="7">
        <v>8.0</v>
      </c>
      <c r="E25" s="7" t="s">
        <v>53</v>
      </c>
      <c r="F25" s="7" t="s">
        <v>66</v>
      </c>
      <c r="G25" s="7" t="s">
        <v>55</v>
      </c>
      <c r="H25" s="12" t="s">
        <v>1284</v>
      </c>
      <c r="I25" s="12" t="s">
        <v>1285</v>
      </c>
    </row>
    <row r="26" ht="15.75" customHeight="1">
      <c r="A26" s="7" t="s">
        <v>256</v>
      </c>
      <c r="B26" s="7">
        <v>253254.0</v>
      </c>
      <c r="C26" s="9">
        <v>44641.0</v>
      </c>
      <c r="D26" s="7">
        <v>4.0</v>
      </c>
      <c r="E26" s="7" t="s">
        <v>82</v>
      </c>
      <c r="F26" s="7" t="s">
        <v>80</v>
      </c>
      <c r="G26" s="7" t="s">
        <v>55</v>
      </c>
      <c r="H26" s="12" t="s">
        <v>1287</v>
      </c>
      <c r="I26" s="12" t="s">
        <v>232</v>
      </c>
    </row>
    <row r="27" ht="15.75" customHeight="1">
      <c r="A27" s="7" t="s">
        <v>256</v>
      </c>
      <c r="B27" s="7">
        <v>552300.0</v>
      </c>
      <c r="C27" s="9">
        <v>44613.0</v>
      </c>
      <c r="D27" s="7">
        <v>2.0</v>
      </c>
      <c r="E27" s="7" t="s">
        <v>79</v>
      </c>
      <c r="F27" s="7" t="s">
        <v>80</v>
      </c>
      <c r="G27" s="7" t="s">
        <v>55</v>
      </c>
      <c r="H27" s="12" t="s">
        <v>1288</v>
      </c>
      <c r="I27" s="12" t="s">
        <v>1289</v>
      </c>
    </row>
    <row r="28" ht="15.75" customHeight="1">
      <c r="A28" s="7" t="s">
        <v>394</v>
      </c>
      <c r="B28" s="7">
        <v>3375703.0</v>
      </c>
      <c r="C28" s="9">
        <v>45670.0</v>
      </c>
      <c r="D28" s="7">
        <v>5.0</v>
      </c>
      <c r="E28" s="7" t="s">
        <v>53</v>
      </c>
      <c r="F28" s="7" t="s">
        <v>66</v>
      </c>
      <c r="G28" s="7" t="s">
        <v>55</v>
      </c>
      <c r="H28" s="12" t="s">
        <v>1290</v>
      </c>
      <c r="I28" s="12" t="s">
        <v>1291</v>
      </c>
    </row>
    <row r="29" ht="15.75" customHeight="1">
      <c r="A29" s="7" t="s">
        <v>394</v>
      </c>
      <c r="B29" s="7">
        <v>2626933.0</v>
      </c>
      <c r="C29" s="9">
        <v>45036.0</v>
      </c>
      <c r="D29" s="7">
        <v>4.0</v>
      </c>
      <c r="E29" s="7" t="s">
        <v>53</v>
      </c>
      <c r="F29" s="7" t="s">
        <v>66</v>
      </c>
      <c r="G29" s="7" t="s">
        <v>55</v>
      </c>
      <c r="H29" s="12" t="s">
        <v>1293</v>
      </c>
      <c r="I29" s="12" t="s">
        <v>840</v>
      </c>
    </row>
    <row r="30" ht="15.75" customHeight="1">
      <c r="A30" s="7" t="s">
        <v>394</v>
      </c>
      <c r="B30" s="7">
        <v>1504384.0</v>
      </c>
      <c r="C30" s="9">
        <v>44978.0</v>
      </c>
      <c r="D30" s="7">
        <v>5.0</v>
      </c>
      <c r="E30" s="7" t="s">
        <v>53</v>
      </c>
      <c r="F30" s="7" t="s">
        <v>66</v>
      </c>
      <c r="G30" s="7" t="s">
        <v>55</v>
      </c>
      <c r="H30" s="12" t="s">
        <v>1295</v>
      </c>
      <c r="I30" s="12" t="s">
        <v>1296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30"/>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9494030.0</v>
      </c>
      <c r="C2" s="9">
        <v>46252.0</v>
      </c>
      <c r="D2" s="7">
        <v>3.0</v>
      </c>
      <c r="E2" s="7" t="s">
        <v>79</v>
      </c>
      <c r="F2" s="7" t="s">
        <v>80</v>
      </c>
      <c r="G2" s="7" t="s">
        <v>55</v>
      </c>
      <c r="H2" s="12" t="s">
        <v>1232</v>
      </c>
      <c r="I2" s="12" t="s">
        <v>1234</v>
      </c>
    </row>
    <row r="3">
      <c r="A3" s="11" t="s">
        <v>49</v>
      </c>
      <c r="B3" s="7">
        <v>8525088.0</v>
      </c>
      <c r="C3" s="9">
        <v>46185.0</v>
      </c>
      <c r="D3" s="7">
        <v>1.0</v>
      </c>
      <c r="E3" s="7" t="s">
        <v>82</v>
      </c>
      <c r="F3" s="7" t="s">
        <v>142</v>
      </c>
      <c r="G3" s="7" t="s">
        <v>55</v>
      </c>
      <c r="H3" s="12" t="s">
        <v>1236</v>
      </c>
      <c r="I3" s="12" t="s">
        <v>1239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3"/>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2.0"/>
    <col customWidth="1" min="3" max="3" width="13.0"/>
    <col customWidth="1" min="4" max="4" width="10.0"/>
    <col customWidth="1" min="5" max="5" width="11.0"/>
    <col customWidth="1" min="6" max="6" width="18.0"/>
    <col customWidth="1" min="7" max="7" width="9.0"/>
    <col customWidth="1" min="8" max="8" width="58.0"/>
    <col customWidth="1" min="9" max="9" width="78.0"/>
    <col customWidth="1" min="10" max="26" width="8.71"/>
  </cols>
  <sheetData>
    <row r="1" ht="31.5" customHeight="1">
      <c r="A1" s="4" t="s">
        <v>8</v>
      </c>
      <c r="B1" s="4" t="s">
        <v>2</v>
      </c>
      <c r="C1" s="4" t="s">
        <v>9</v>
      </c>
      <c r="D1" s="4" t="s">
        <v>10</v>
      </c>
      <c r="E1" s="4" t="s">
        <v>11</v>
      </c>
      <c r="F1" s="4" t="s">
        <v>12</v>
      </c>
      <c r="G1" s="4" t="s">
        <v>13</v>
      </c>
      <c r="H1" s="4" t="s">
        <v>44</v>
      </c>
      <c r="I1" s="4" t="s">
        <v>46</v>
      </c>
    </row>
    <row r="2">
      <c r="A2" s="11" t="s">
        <v>49</v>
      </c>
      <c r="B2" s="7">
        <v>6178215.0</v>
      </c>
      <c r="C2" s="9">
        <v>45985.0</v>
      </c>
      <c r="D2" s="7">
        <v>8.0</v>
      </c>
      <c r="E2" s="7" t="s">
        <v>79</v>
      </c>
      <c r="F2" s="7" t="s">
        <v>80</v>
      </c>
      <c r="G2" s="7" t="s">
        <v>55</v>
      </c>
      <c r="H2" s="12" t="s">
        <v>1345</v>
      </c>
      <c r="I2" s="12" t="s">
        <v>1346</v>
      </c>
    </row>
    <row r="3">
      <c r="A3" s="11" t="s">
        <v>49</v>
      </c>
      <c r="B3" s="7">
        <v>5465424.0</v>
      </c>
      <c r="C3" s="9">
        <v>45630.0</v>
      </c>
      <c r="D3" s="7">
        <v>7.0</v>
      </c>
      <c r="E3" s="7" t="s">
        <v>53</v>
      </c>
      <c r="F3" s="7" t="s">
        <v>110</v>
      </c>
      <c r="G3" s="7" t="s">
        <v>55</v>
      </c>
      <c r="H3" s="12" t="s">
        <v>1349</v>
      </c>
      <c r="I3" s="12" t="s">
        <v>1350</v>
      </c>
    </row>
    <row r="4">
      <c r="A4" s="11" t="s">
        <v>49</v>
      </c>
      <c r="B4" s="7">
        <v>1529723.0</v>
      </c>
      <c r="C4" s="9">
        <v>45369.0</v>
      </c>
      <c r="D4" s="7">
        <v>7.0</v>
      </c>
      <c r="E4" s="7" t="s">
        <v>53</v>
      </c>
      <c r="F4" s="7" t="s">
        <v>80</v>
      </c>
      <c r="G4" s="7" t="s">
        <v>55</v>
      </c>
      <c r="H4" s="12" t="s">
        <v>1351</v>
      </c>
      <c r="I4" s="12" t="s">
        <v>1352</v>
      </c>
    </row>
    <row r="5">
      <c r="A5" s="11" t="s">
        <v>49</v>
      </c>
      <c r="B5" s="7">
        <v>1726826.0</v>
      </c>
      <c r="C5" s="9">
        <v>44921.0</v>
      </c>
      <c r="D5" s="7">
        <v>5.0</v>
      </c>
      <c r="E5" s="7" t="s">
        <v>53</v>
      </c>
      <c r="F5" s="7" t="s">
        <v>66</v>
      </c>
      <c r="G5" s="7" t="s">
        <v>55</v>
      </c>
      <c r="H5" s="12" t="s">
        <v>1355</v>
      </c>
      <c r="I5" s="12" t="s">
        <v>1356</v>
      </c>
    </row>
    <row r="6">
      <c r="A6" s="11" t="s">
        <v>49</v>
      </c>
      <c r="B6" s="7">
        <v>917360.0</v>
      </c>
      <c r="C6" s="9">
        <v>44692.0</v>
      </c>
      <c r="D6" s="7">
        <v>2.0</v>
      </c>
      <c r="E6" s="7" t="s">
        <v>53</v>
      </c>
      <c r="F6" s="7" t="s">
        <v>66</v>
      </c>
      <c r="G6" s="7" t="s">
        <v>55</v>
      </c>
      <c r="H6" s="12" t="s">
        <v>1357</v>
      </c>
      <c r="I6" s="12" t="s">
        <v>1358</v>
      </c>
    </row>
    <row r="7">
      <c r="A7" s="11" t="s">
        <v>49</v>
      </c>
      <c r="B7" s="7">
        <v>167088.0</v>
      </c>
      <c r="C7" s="9">
        <v>44290.0</v>
      </c>
      <c r="D7" s="7">
        <v>1.0</v>
      </c>
      <c r="E7" s="7" t="s">
        <v>79</v>
      </c>
      <c r="F7" s="7" t="s">
        <v>124</v>
      </c>
      <c r="G7" s="7" t="s">
        <v>55</v>
      </c>
      <c r="H7" s="12" t="s">
        <v>1360</v>
      </c>
      <c r="I7" s="12" t="s">
        <v>1361</v>
      </c>
    </row>
    <row r="8">
      <c r="A8" s="7" t="s">
        <v>394</v>
      </c>
      <c r="B8" s="7">
        <v>181722.0</v>
      </c>
      <c r="C8" s="9">
        <v>44442.0</v>
      </c>
      <c r="D8" s="7">
        <v>6.0</v>
      </c>
      <c r="E8" s="7" t="s">
        <v>79</v>
      </c>
      <c r="F8" s="7" t="s">
        <v>124</v>
      </c>
      <c r="G8" s="7" t="s">
        <v>55</v>
      </c>
      <c r="H8" s="12" t="s">
        <v>1363</v>
      </c>
      <c r="I8" s="12" t="s">
        <v>1364</v>
      </c>
    </row>
    <row r="9">
      <c r="A9" s="7" t="s">
        <v>394</v>
      </c>
      <c r="B9" s="7">
        <v>230774.0</v>
      </c>
      <c r="C9" s="9">
        <v>44441.0</v>
      </c>
      <c r="D9" s="7">
        <v>2.0</v>
      </c>
      <c r="E9" s="7" t="s">
        <v>53</v>
      </c>
      <c r="F9" s="7" t="s">
        <v>66</v>
      </c>
      <c r="G9" s="7" t="s">
        <v>55</v>
      </c>
      <c r="H9" s="12" t="s">
        <v>1366</v>
      </c>
      <c r="I9" s="12" t="s">
        <v>1367</v>
      </c>
    </row>
    <row r="10">
      <c r="A10" s="7" t="s">
        <v>394</v>
      </c>
      <c r="B10" s="7">
        <v>140337.0</v>
      </c>
      <c r="C10" s="9">
        <v>44257.0</v>
      </c>
      <c r="D10" s="7">
        <v>1.0</v>
      </c>
      <c r="E10" s="7" t="s">
        <v>79</v>
      </c>
      <c r="F10" s="7" t="s">
        <v>124</v>
      </c>
      <c r="G10" s="7" t="s">
        <v>55</v>
      </c>
      <c r="H10" s="12" t="s">
        <v>1369</v>
      </c>
      <c r="I10" s="12" t="s">
        <v>1322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0"/>
  <printOptions/>
  <pageMargins bottom="1.0" footer="0.0" header="0.0" left="0.75" right="0.75" top="1.0"/>
  <pageSetup paperSize="9" orientation="portrait"/>
  <drawing r:id="rId1"/>
</worksheet>
</file>